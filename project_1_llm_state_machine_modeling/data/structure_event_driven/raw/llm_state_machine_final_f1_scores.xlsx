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ect\Downloads\"/>
    </mc:Choice>
  </mc:AlternateContent>
  <xr:revisionPtr revIDLastSave="0" documentId="13_ncr:1_{6990E463-D4DA-4B43-ACCF-A4F165404851}" xr6:coauthVersionLast="47" xr6:coauthVersionMax="47" xr10:uidLastSave="{00000000-0000-0000-0000-000000000000}"/>
  <bookViews>
    <workbookView xWindow="-4980" yWindow="-21720" windowWidth="38640" windowHeight="21120" xr2:uid="{00000000-000D-0000-FFFF-FFFF00000000}"/>
  </bookViews>
  <sheets>
    <sheet name="SinglePrompt" sheetId="1" r:id="rId1"/>
    <sheet name="StructureDriven" sheetId="2" r:id="rId2"/>
    <sheet name="EventDriven" sheetId="3" r:id="rId3"/>
    <sheet name="Hybrid" sheetId="4" r:id="rId4"/>
    <sheet name="Averag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5" l="1"/>
  <c r="I35" i="5"/>
  <c r="H35" i="5"/>
  <c r="E35" i="5"/>
  <c r="D35" i="5"/>
  <c r="C35" i="5"/>
  <c r="J34" i="5"/>
  <c r="I34" i="5"/>
  <c r="H34" i="5"/>
  <c r="E34" i="5"/>
  <c r="D34" i="5"/>
  <c r="C34" i="5"/>
  <c r="J33" i="5"/>
  <c r="I33" i="5"/>
  <c r="H33" i="5"/>
  <c r="E33" i="5"/>
  <c r="D33" i="5"/>
  <c r="C33" i="5"/>
  <c r="J32" i="5"/>
  <c r="I32" i="5"/>
  <c r="H32" i="5"/>
  <c r="E32" i="5"/>
  <c r="D32" i="5"/>
  <c r="C32" i="5"/>
  <c r="J31" i="5"/>
  <c r="I31" i="5"/>
  <c r="H31" i="5"/>
  <c r="E31" i="5"/>
  <c r="D31" i="5"/>
  <c r="C31" i="5"/>
  <c r="J30" i="5"/>
  <c r="I30" i="5"/>
  <c r="H30" i="5"/>
  <c r="E30" i="5"/>
  <c r="D30" i="5"/>
  <c r="C30" i="5"/>
  <c r="J29" i="5"/>
  <c r="I29" i="5"/>
  <c r="H29" i="5"/>
  <c r="E29" i="5"/>
  <c r="D29" i="5"/>
  <c r="C29" i="5"/>
  <c r="J28" i="5"/>
  <c r="I28" i="5"/>
  <c r="H28" i="5"/>
  <c r="E28" i="5"/>
  <c r="D28" i="5"/>
  <c r="C28" i="5"/>
  <c r="J27" i="5"/>
  <c r="I27" i="5"/>
  <c r="H27" i="5"/>
  <c r="E27" i="5"/>
  <c r="D27" i="5"/>
  <c r="C27" i="5"/>
  <c r="J26" i="5"/>
  <c r="I26" i="5"/>
  <c r="H26" i="5"/>
  <c r="E26" i="5"/>
  <c r="D26" i="5"/>
  <c r="C26" i="5"/>
  <c r="J25" i="5"/>
  <c r="I25" i="5"/>
  <c r="H25" i="5"/>
  <c r="E25" i="5"/>
  <c r="D25" i="5"/>
  <c r="C25" i="5"/>
  <c r="J24" i="5"/>
  <c r="I24" i="5"/>
  <c r="H24" i="5"/>
  <c r="E24" i="5"/>
  <c r="D24" i="5"/>
  <c r="C24" i="5"/>
  <c r="J23" i="5"/>
  <c r="I23" i="5"/>
  <c r="H23" i="5"/>
  <c r="E23" i="5"/>
  <c r="D23" i="5"/>
  <c r="C23" i="5"/>
  <c r="J22" i="5"/>
  <c r="I22" i="5"/>
  <c r="H22" i="5"/>
  <c r="E22" i="5"/>
  <c r="D22" i="5"/>
  <c r="C22" i="5"/>
  <c r="J21" i="5"/>
  <c r="I21" i="5"/>
  <c r="H21" i="5"/>
  <c r="E21" i="5"/>
  <c r="D21" i="5"/>
  <c r="C21" i="5"/>
  <c r="J20" i="5"/>
  <c r="I20" i="5"/>
  <c r="H20" i="5"/>
  <c r="E20" i="5"/>
  <c r="D20" i="5"/>
  <c r="C20" i="5"/>
  <c r="J19" i="5"/>
  <c r="I19" i="5"/>
  <c r="H19" i="5"/>
  <c r="E19" i="5"/>
  <c r="D19" i="5"/>
  <c r="C19" i="5"/>
  <c r="J18" i="5"/>
  <c r="I18" i="5"/>
  <c r="H18" i="5"/>
  <c r="E18" i="5"/>
  <c r="D18" i="5"/>
  <c r="C18" i="5"/>
  <c r="J17" i="5"/>
  <c r="I17" i="5"/>
  <c r="H17" i="5"/>
  <c r="E17" i="5"/>
  <c r="D17" i="5"/>
  <c r="C17" i="5"/>
  <c r="J16" i="5"/>
  <c r="I16" i="5"/>
  <c r="H16" i="5"/>
  <c r="E16" i="5"/>
  <c r="D16" i="5"/>
  <c r="C16" i="5"/>
  <c r="J15" i="5"/>
  <c r="I15" i="5"/>
  <c r="H15" i="5"/>
  <c r="E15" i="5"/>
  <c r="D15" i="5"/>
  <c r="C15" i="5"/>
  <c r="J14" i="5"/>
  <c r="I14" i="5"/>
  <c r="H14" i="5"/>
  <c r="E14" i="5"/>
  <c r="D14" i="5"/>
  <c r="C14" i="5"/>
  <c r="J13" i="5"/>
  <c r="I13" i="5"/>
  <c r="H13" i="5"/>
  <c r="E13" i="5"/>
  <c r="D13" i="5"/>
  <c r="C13" i="5"/>
  <c r="J12" i="5"/>
  <c r="I12" i="5"/>
  <c r="H12" i="5"/>
  <c r="E12" i="5"/>
  <c r="D12" i="5"/>
  <c r="C12" i="5"/>
  <c r="J11" i="5"/>
  <c r="I11" i="5"/>
  <c r="H11" i="5"/>
  <c r="E11" i="5"/>
  <c r="D11" i="5"/>
  <c r="C11" i="5"/>
  <c r="J10" i="5"/>
  <c r="I10" i="5"/>
  <c r="H10" i="5"/>
  <c r="E10" i="5"/>
  <c r="D10" i="5"/>
  <c r="C10" i="5"/>
  <c r="J9" i="5"/>
  <c r="I9" i="5"/>
  <c r="H9" i="5"/>
  <c r="E9" i="5"/>
  <c r="D9" i="5"/>
  <c r="C9" i="5"/>
  <c r="J8" i="5"/>
  <c r="I8" i="5"/>
  <c r="H8" i="5"/>
  <c r="E8" i="5"/>
  <c r="D8" i="5"/>
  <c r="C8" i="5"/>
  <c r="J7" i="5"/>
  <c r="I7" i="5"/>
  <c r="H7" i="5"/>
  <c r="E7" i="5"/>
  <c r="D7" i="5"/>
  <c r="C7" i="5"/>
  <c r="J6" i="5"/>
  <c r="I6" i="5"/>
  <c r="H6" i="5"/>
  <c r="E6" i="5"/>
  <c r="D6" i="5"/>
  <c r="C6" i="5"/>
  <c r="J5" i="5"/>
  <c r="I5" i="5"/>
  <c r="H5" i="5"/>
  <c r="E5" i="5"/>
  <c r="D5" i="5"/>
  <c r="C5" i="5"/>
  <c r="J4" i="5"/>
  <c r="I4" i="5"/>
  <c r="H4" i="5"/>
  <c r="E4" i="5"/>
  <c r="D4" i="5"/>
  <c r="C4" i="5"/>
  <c r="R68" i="4"/>
  <c r="Q68" i="4"/>
  <c r="P68" i="4"/>
  <c r="O68" i="4"/>
  <c r="N68" i="4"/>
  <c r="M68" i="4"/>
  <c r="H68" i="4"/>
  <c r="G68" i="4"/>
  <c r="F68" i="4"/>
  <c r="E68" i="4"/>
  <c r="D68" i="4"/>
  <c r="C68" i="4"/>
  <c r="R67" i="4"/>
  <c r="Q67" i="4"/>
  <c r="P67" i="4"/>
  <c r="H67" i="4"/>
  <c r="G67" i="4"/>
  <c r="F67" i="4"/>
  <c r="R66" i="4"/>
  <c r="Q66" i="4"/>
  <c r="P66" i="4"/>
  <c r="G66" i="4"/>
  <c r="H66" i="4" s="1"/>
  <c r="F66" i="4"/>
  <c r="R65" i="4"/>
  <c r="Q65" i="4"/>
  <c r="P65" i="4"/>
  <c r="H65" i="4"/>
  <c r="G65" i="4"/>
  <c r="F65" i="4"/>
  <c r="Q64" i="4"/>
  <c r="P64" i="4"/>
  <c r="R64" i="4" s="1"/>
  <c r="H64" i="4"/>
  <c r="G64" i="4"/>
  <c r="F64" i="4"/>
  <c r="Q63" i="4"/>
  <c r="P63" i="4"/>
  <c r="R63" i="4" s="1"/>
  <c r="G63" i="4"/>
  <c r="F63" i="4"/>
  <c r="H63" i="4" s="1"/>
  <c r="Q62" i="4"/>
  <c r="R62" i="4" s="1"/>
  <c r="P62" i="4"/>
  <c r="G62" i="4"/>
  <c r="F62" i="4"/>
  <c r="H62" i="4" s="1"/>
  <c r="R61" i="4"/>
  <c r="Q61" i="4"/>
  <c r="P61" i="4"/>
  <c r="G61" i="4"/>
  <c r="F61" i="4"/>
  <c r="H61" i="4" s="1"/>
  <c r="O60" i="4"/>
  <c r="P60" i="4" s="1"/>
  <c r="R60" i="4" s="1"/>
  <c r="N60" i="4"/>
  <c r="M60" i="4"/>
  <c r="Q60" i="4" s="1"/>
  <c r="E60" i="4"/>
  <c r="F60" i="4" s="1"/>
  <c r="D60" i="4"/>
  <c r="G60" i="4" s="1"/>
  <c r="C60" i="4"/>
  <c r="Q59" i="4"/>
  <c r="P59" i="4"/>
  <c r="R59" i="4" s="1"/>
  <c r="G59" i="4"/>
  <c r="F59" i="4"/>
  <c r="H59" i="4" s="1"/>
  <c r="R57" i="4"/>
  <c r="Q57" i="4"/>
  <c r="P57" i="4"/>
  <c r="H57" i="4"/>
  <c r="G57" i="4"/>
  <c r="F57" i="4"/>
  <c r="Q56" i="4"/>
  <c r="P56" i="4"/>
  <c r="R56" i="4" s="1"/>
  <c r="G56" i="4"/>
  <c r="F56" i="4"/>
  <c r="H56" i="4" s="1"/>
  <c r="Q55" i="4"/>
  <c r="R55" i="4" s="1"/>
  <c r="P55" i="4"/>
  <c r="G55" i="4"/>
  <c r="F55" i="4"/>
  <c r="H55" i="4" s="1"/>
  <c r="Q54" i="4"/>
  <c r="R54" i="4" s="1"/>
  <c r="P54" i="4"/>
  <c r="G54" i="4"/>
  <c r="F54" i="4"/>
  <c r="H54" i="4" s="1"/>
  <c r="R53" i="4"/>
  <c r="Q53" i="4"/>
  <c r="P53" i="4"/>
  <c r="H53" i="4"/>
  <c r="G53" i="4"/>
  <c r="F53" i="4"/>
  <c r="O52" i="4"/>
  <c r="P52" i="4" s="1"/>
  <c r="N52" i="4"/>
  <c r="M52" i="4"/>
  <c r="Q52" i="4" s="1"/>
  <c r="E52" i="4"/>
  <c r="F52" i="4" s="1"/>
  <c r="D52" i="4"/>
  <c r="G52" i="4" s="1"/>
  <c r="C52" i="4"/>
  <c r="Q51" i="4"/>
  <c r="P51" i="4"/>
  <c r="R51" i="4" s="1"/>
  <c r="G51" i="4"/>
  <c r="F51" i="4"/>
  <c r="H51" i="4" s="1"/>
  <c r="Q49" i="4"/>
  <c r="R49" i="4" s="1"/>
  <c r="P49" i="4"/>
  <c r="H49" i="4"/>
  <c r="G49" i="4"/>
  <c r="F49" i="4"/>
  <c r="Q48" i="4"/>
  <c r="P48" i="4"/>
  <c r="R48" i="4" s="1"/>
  <c r="G48" i="4"/>
  <c r="F48" i="4"/>
  <c r="H48" i="4" s="1"/>
  <c r="Q47" i="4"/>
  <c r="R47" i="4" s="1"/>
  <c r="P47" i="4"/>
  <c r="G47" i="4"/>
  <c r="F47" i="4"/>
  <c r="H47" i="4" s="1"/>
  <c r="Q46" i="4"/>
  <c r="R46" i="4" s="1"/>
  <c r="P46" i="4"/>
  <c r="G46" i="4"/>
  <c r="F46" i="4"/>
  <c r="H46" i="4" s="1"/>
  <c r="R45" i="4"/>
  <c r="Q45" i="4"/>
  <c r="P45" i="4"/>
  <c r="H45" i="4"/>
  <c r="G45" i="4"/>
  <c r="F45" i="4"/>
  <c r="P44" i="4"/>
  <c r="O44" i="4"/>
  <c r="N44" i="4"/>
  <c r="M44" i="4"/>
  <c r="Q44" i="4" s="1"/>
  <c r="E44" i="4"/>
  <c r="F44" i="4" s="1"/>
  <c r="D44" i="4"/>
  <c r="G44" i="4" s="1"/>
  <c r="C44" i="4"/>
  <c r="Q43" i="4"/>
  <c r="P43" i="4"/>
  <c r="R43" i="4" s="1"/>
  <c r="G43" i="4"/>
  <c r="F43" i="4"/>
  <c r="H43" i="4" s="1"/>
  <c r="R41" i="4"/>
  <c r="Q41" i="4"/>
  <c r="P41" i="4"/>
  <c r="H41" i="4"/>
  <c r="G41" i="4"/>
  <c r="F41" i="4"/>
  <c r="Q40" i="4"/>
  <c r="P40" i="4"/>
  <c r="R40" i="4" s="1"/>
  <c r="G40" i="4"/>
  <c r="F40" i="4"/>
  <c r="H40" i="4" s="1"/>
  <c r="Q39" i="4"/>
  <c r="R39" i="4" s="1"/>
  <c r="P39" i="4"/>
  <c r="G39" i="4"/>
  <c r="F39" i="4"/>
  <c r="H39" i="4" s="1"/>
  <c r="Q38" i="4"/>
  <c r="R38" i="4" s="1"/>
  <c r="P38" i="4"/>
  <c r="G38" i="4"/>
  <c r="F38" i="4"/>
  <c r="H38" i="4" s="1"/>
  <c r="R37" i="4"/>
  <c r="Q37" i="4"/>
  <c r="P37" i="4"/>
  <c r="H37" i="4"/>
  <c r="G37" i="4"/>
  <c r="F37" i="4"/>
  <c r="P36" i="4"/>
  <c r="O36" i="4"/>
  <c r="N36" i="4"/>
  <c r="M36" i="4"/>
  <c r="Q36" i="4" s="1"/>
  <c r="E36" i="4"/>
  <c r="F36" i="4" s="1"/>
  <c r="D36" i="4"/>
  <c r="G36" i="4" s="1"/>
  <c r="C36" i="4"/>
  <c r="Q35" i="4"/>
  <c r="P35" i="4"/>
  <c r="R35" i="4" s="1"/>
  <c r="G35" i="4"/>
  <c r="F35" i="4"/>
  <c r="H35" i="4" s="1"/>
  <c r="Q33" i="4"/>
  <c r="R33" i="4" s="1"/>
  <c r="P33" i="4"/>
  <c r="H33" i="4"/>
  <c r="G33" i="4"/>
  <c r="F33" i="4"/>
  <c r="Q32" i="4"/>
  <c r="P32" i="4"/>
  <c r="R32" i="4" s="1"/>
  <c r="G32" i="4"/>
  <c r="F32" i="4"/>
  <c r="H32" i="4" s="1"/>
  <c r="Q31" i="4"/>
  <c r="R31" i="4" s="1"/>
  <c r="P31" i="4"/>
  <c r="G31" i="4"/>
  <c r="F31" i="4"/>
  <c r="H31" i="4" s="1"/>
  <c r="Q30" i="4"/>
  <c r="R30" i="4" s="1"/>
  <c r="P30" i="4"/>
  <c r="G30" i="4"/>
  <c r="F30" i="4"/>
  <c r="H30" i="4" s="1"/>
  <c r="R29" i="4"/>
  <c r="Q29" i="4"/>
  <c r="P29" i="4"/>
  <c r="H29" i="4"/>
  <c r="G29" i="4"/>
  <c r="F29" i="4"/>
  <c r="O28" i="4"/>
  <c r="P28" i="4" s="1"/>
  <c r="R28" i="4" s="1"/>
  <c r="N28" i="4"/>
  <c r="M28" i="4"/>
  <c r="Q28" i="4" s="1"/>
  <c r="E28" i="4"/>
  <c r="F28" i="4" s="1"/>
  <c r="D28" i="4"/>
  <c r="G28" i="4" s="1"/>
  <c r="C28" i="4"/>
  <c r="Q27" i="4"/>
  <c r="P27" i="4"/>
  <c r="R27" i="4" s="1"/>
  <c r="G27" i="4"/>
  <c r="F27" i="4"/>
  <c r="H27" i="4" s="1"/>
  <c r="R26" i="4"/>
  <c r="Q26" i="4"/>
  <c r="P26" i="4"/>
  <c r="H26" i="4"/>
  <c r="G26" i="4"/>
  <c r="F26" i="4"/>
  <c r="Q25" i="4"/>
  <c r="P25" i="4"/>
  <c r="R25" i="4" s="1"/>
  <c r="G25" i="4"/>
  <c r="F25" i="4"/>
  <c r="H25" i="4" s="1"/>
  <c r="R24" i="4"/>
  <c r="Q24" i="4"/>
  <c r="P24" i="4"/>
  <c r="G24" i="4"/>
  <c r="F24" i="4"/>
  <c r="H24" i="4" s="1"/>
  <c r="Q23" i="4"/>
  <c r="R23" i="4" s="1"/>
  <c r="P23" i="4"/>
  <c r="G23" i="4"/>
  <c r="F23" i="4"/>
  <c r="H23" i="4" s="1"/>
  <c r="R22" i="4"/>
  <c r="Q22" i="4"/>
  <c r="P22" i="4"/>
  <c r="H22" i="4"/>
  <c r="G22" i="4"/>
  <c r="F22" i="4"/>
  <c r="Q21" i="4"/>
  <c r="P21" i="4"/>
  <c r="R21" i="4" s="1"/>
  <c r="H21" i="4"/>
  <c r="G21" i="4"/>
  <c r="F21" i="4"/>
  <c r="O20" i="4"/>
  <c r="P20" i="4" s="1"/>
  <c r="R20" i="4" s="1"/>
  <c r="N20" i="4"/>
  <c r="Q20" i="4" s="1"/>
  <c r="M20" i="4"/>
  <c r="E20" i="4"/>
  <c r="D20" i="4"/>
  <c r="C20" i="4"/>
  <c r="G20" i="4" s="1"/>
  <c r="Q19" i="4"/>
  <c r="R19" i="4" s="1"/>
  <c r="P19" i="4"/>
  <c r="H19" i="4"/>
  <c r="G19" i="4"/>
  <c r="F19" i="4"/>
  <c r="Q18" i="4"/>
  <c r="P18" i="4"/>
  <c r="R18" i="4" s="1"/>
  <c r="G18" i="4"/>
  <c r="F18" i="4"/>
  <c r="H18" i="4" s="1"/>
  <c r="R17" i="4"/>
  <c r="Q17" i="4"/>
  <c r="P17" i="4"/>
  <c r="G17" i="4"/>
  <c r="F17" i="4"/>
  <c r="H17" i="4" s="1"/>
  <c r="Q15" i="4"/>
  <c r="R15" i="4" s="1"/>
  <c r="P15" i="4"/>
  <c r="G15" i="4"/>
  <c r="F15" i="4"/>
  <c r="H15" i="4" s="1"/>
  <c r="R14" i="4"/>
  <c r="Q14" i="4"/>
  <c r="P14" i="4"/>
  <c r="H14" i="4"/>
  <c r="G14" i="4"/>
  <c r="F14" i="4"/>
  <c r="Q13" i="4"/>
  <c r="P13" i="4"/>
  <c r="R13" i="4" s="1"/>
  <c r="H13" i="4"/>
  <c r="G13" i="4"/>
  <c r="F13" i="4"/>
  <c r="O12" i="4"/>
  <c r="P12" i="4" s="1"/>
  <c r="N12" i="4"/>
  <c r="Q12" i="4" s="1"/>
  <c r="M12" i="4"/>
  <c r="G12" i="4"/>
  <c r="E12" i="4"/>
  <c r="D12" i="4"/>
  <c r="C12" i="4"/>
  <c r="F12" i="4" s="1"/>
  <c r="H12" i="4" s="1"/>
  <c r="Q11" i="4"/>
  <c r="R11" i="4" s="1"/>
  <c r="P11" i="4"/>
  <c r="H11" i="4"/>
  <c r="G11" i="4"/>
  <c r="F11" i="4"/>
  <c r="Q10" i="4"/>
  <c r="P10" i="4"/>
  <c r="R10" i="4" s="1"/>
  <c r="G10" i="4"/>
  <c r="F10" i="4"/>
  <c r="H10" i="4" s="1"/>
  <c r="R9" i="4"/>
  <c r="Q9" i="4"/>
  <c r="P9" i="4"/>
  <c r="G9" i="4"/>
  <c r="F9" i="4"/>
  <c r="H9" i="4" s="1"/>
  <c r="Q8" i="4"/>
  <c r="R8" i="4" s="1"/>
  <c r="P8" i="4"/>
  <c r="G8" i="4"/>
  <c r="F8" i="4"/>
  <c r="H8" i="4" s="1"/>
  <c r="R7" i="4"/>
  <c r="Q7" i="4"/>
  <c r="P7" i="4"/>
  <c r="H7" i="4"/>
  <c r="G7" i="4"/>
  <c r="F7" i="4"/>
  <c r="Q6" i="4"/>
  <c r="P6" i="4"/>
  <c r="R6" i="4" s="1"/>
  <c r="H6" i="4"/>
  <c r="G6" i="4"/>
  <c r="F6" i="4"/>
  <c r="Q5" i="4"/>
  <c r="P5" i="4"/>
  <c r="R5" i="4" s="1"/>
  <c r="H5" i="4"/>
  <c r="G5" i="4"/>
  <c r="F5" i="4"/>
  <c r="Q67" i="3"/>
  <c r="O67" i="3"/>
  <c r="N67" i="3"/>
  <c r="M67" i="3"/>
  <c r="P67" i="3" s="1"/>
  <c r="R67" i="3" s="1"/>
  <c r="E67" i="3"/>
  <c r="D67" i="3"/>
  <c r="Q66" i="3"/>
  <c r="P66" i="3"/>
  <c r="R66" i="3" s="1"/>
  <c r="G66" i="3"/>
  <c r="F66" i="3"/>
  <c r="H66" i="3" s="1"/>
  <c r="Q65" i="3"/>
  <c r="R65" i="3" s="1"/>
  <c r="P65" i="3"/>
  <c r="G65" i="3"/>
  <c r="F65" i="3"/>
  <c r="H65" i="3" s="1"/>
  <c r="Q64" i="3"/>
  <c r="P64" i="3"/>
  <c r="R64" i="3" s="1"/>
  <c r="H64" i="3"/>
  <c r="G64" i="3"/>
  <c r="F64" i="3"/>
  <c r="R63" i="3"/>
  <c r="Q63" i="3"/>
  <c r="P63" i="3"/>
  <c r="H63" i="3"/>
  <c r="G63" i="3"/>
  <c r="F63" i="3"/>
  <c r="Q62" i="3"/>
  <c r="P62" i="3"/>
  <c r="R62" i="3" s="1"/>
  <c r="H62" i="3"/>
  <c r="G62" i="3"/>
  <c r="F62" i="3"/>
  <c r="Q61" i="3"/>
  <c r="R61" i="3" s="1"/>
  <c r="P61" i="3"/>
  <c r="H61" i="3"/>
  <c r="G61" i="3"/>
  <c r="F61" i="3"/>
  <c r="Q60" i="3"/>
  <c r="P60" i="3"/>
  <c r="R60" i="3" s="1"/>
  <c r="G60" i="3"/>
  <c r="F60" i="3"/>
  <c r="H60" i="3" s="1"/>
  <c r="Q59" i="3"/>
  <c r="O59" i="3"/>
  <c r="N59" i="3"/>
  <c r="M59" i="3"/>
  <c r="P59" i="3" s="1"/>
  <c r="R59" i="3" s="1"/>
  <c r="E59" i="3"/>
  <c r="D59" i="3"/>
  <c r="C59" i="3"/>
  <c r="F59" i="3" s="1"/>
  <c r="Q58" i="3"/>
  <c r="R58" i="3" s="1"/>
  <c r="P58" i="3"/>
  <c r="G58" i="3"/>
  <c r="F58" i="3"/>
  <c r="H58" i="3" s="1"/>
  <c r="Q56" i="3"/>
  <c r="P56" i="3"/>
  <c r="R56" i="3" s="1"/>
  <c r="H56" i="3"/>
  <c r="G56" i="3"/>
  <c r="F56" i="3"/>
  <c r="R55" i="3"/>
  <c r="Q55" i="3"/>
  <c r="P55" i="3"/>
  <c r="H55" i="3"/>
  <c r="G55" i="3"/>
  <c r="F55" i="3"/>
  <c r="Q54" i="3"/>
  <c r="P54" i="3"/>
  <c r="R54" i="3" s="1"/>
  <c r="H54" i="3"/>
  <c r="G54" i="3"/>
  <c r="F54" i="3"/>
  <c r="Q53" i="3"/>
  <c r="R53" i="3" s="1"/>
  <c r="P53" i="3"/>
  <c r="H53" i="3"/>
  <c r="G53" i="3"/>
  <c r="F53" i="3"/>
  <c r="Q52" i="3"/>
  <c r="P52" i="3"/>
  <c r="R52" i="3" s="1"/>
  <c r="H52" i="3"/>
  <c r="G52" i="3"/>
  <c r="F52" i="3"/>
  <c r="Q51" i="3"/>
  <c r="O51" i="3"/>
  <c r="N51" i="3"/>
  <c r="M51" i="3"/>
  <c r="P51" i="3" s="1"/>
  <c r="R51" i="3" s="1"/>
  <c r="E51" i="3"/>
  <c r="D51" i="3"/>
  <c r="C51" i="3"/>
  <c r="F51" i="3" s="1"/>
  <c r="Q50" i="3"/>
  <c r="R50" i="3" s="1"/>
  <c r="P50" i="3"/>
  <c r="G50" i="3"/>
  <c r="F50" i="3"/>
  <c r="H50" i="3" s="1"/>
  <c r="Q48" i="3"/>
  <c r="P48" i="3"/>
  <c r="R48" i="3" s="1"/>
  <c r="H48" i="3"/>
  <c r="G48" i="3"/>
  <c r="F48" i="3"/>
  <c r="R47" i="3"/>
  <c r="Q47" i="3"/>
  <c r="P47" i="3"/>
  <c r="H47" i="3"/>
  <c r="G47" i="3"/>
  <c r="F47" i="3"/>
  <c r="Q46" i="3"/>
  <c r="P46" i="3"/>
  <c r="R46" i="3" s="1"/>
  <c r="H46" i="3"/>
  <c r="G46" i="3"/>
  <c r="F46" i="3"/>
  <c r="Q45" i="3"/>
  <c r="R45" i="3" s="1"/>
  <c r="P45" i="3"/>
  <c r="H45" i="3"/>
  <c r="G45" i="3"/>
  <c r="F45" i="3"/>
  <c r="Q44" i="3"/>
  <c r="P44" i="3"/>
  <c r="R44" i="3" s="1"/>
  <c r="H44" i="3"/>
  <c r="G44" i="3"/>
  <c r="F44" i="3"/>
  <c r="Q43" i="3"/>
  <c r="O43" i="3"/>
  <c r="N43" i="3"/>
  <c r="M43" i="3"/>
  <c r="P43" i="3" s="1"/>
  <c r="R43" i="3" s="1"/>
  <c r="G43" i="3"/>
  <c r="E43" i="3"/>
  <c r="D43" i="3"/>
  <c r="C43" i="3"/>
  <c r="F43" i="3" s="1"/>
  <c r="H43" i="3" s="1"/>
  <c r="Q42" i="3"/>
  <c r="R42" i="3" s="1"/>
  <c r="P42" i="3"/>
  <c r="G42" i="3"/>
  <c r="F42" i="3"/>
  <c r="H42" i="3" s="1"/>
  <c r="Q40" i="3"/>
  <c r="P40" i="3"/>
  <c r="R40" i="3" s="1"/>
  <c r="G40" i="3"/>
  <c r="F40" i="3"/>
  <c r="H40" i="3" s="1"/>
  <c r="R39" i="3"/>
  <c r="Q39" i="3"/>
  <c r="P39" i="3"/>
  <c r="H39" i="3"/>
  <c r="G39" i="3"/>
  <c r="F39" i="3"/>
  <c r="Q38" i="3"/>
  <c r="P38" i="3"/>
  <c r="R38" i="3" s="1"/>
  <c r="H38" i="3"/>
  <c r="G38" i="3"/>
  <c r="F38" i="3"/>
  <c r="Q37" i="3"/>
  <c r="R37" i="3" s="1"/>
  <c r="P37" i="3"/>
  <c r="H37" i="3"/>
  <c r="G37" i="3"/>
  <c r="F37" i="3"/>
  <c r="Q36" i="3"/>
  <c r="P36" i="3"/>
  <c r="R36" i="3" s="1"/>
  <c r="H36" i="3"/>
  <c r="G36" i="3"/>
  <c r="F36" i="3"/>
  <c r="Q35" i="3"/>
  <c r="O35" i="3"/>
  <c r="N35" i="3"/>
  <c r="M35" i="3"/>
  <c r="P35" i="3" s="1"/>
  <c r="R35" i="3" s="1"/>
  <c r="G35" i="3"/>
  <c r="E35" i="3"/>
  <c r="D35" i="3"/>
  <c r="C35" i="3"/>
  <c r="F35" i="3" s="1"/>
  <c r="H35" i="3" s="1"/>
  <c r="Q34" i="3"/>
  <c r="R34" i="3" s="1"/>
  <c r="P34" i="3"/>
  <c r="G34" i="3"/>
  <c r="F34" i="3"/>
  <c r="H34" i="3" s="1"/>
  <c r="Q32" i="3"/>
  <c r="P32" i="3"/>
  <c r="R32" i="3" s="1"/>
  <c r="G32" i="3"/>
  <c r="F32" i="3"/>
  <c r="H32" i="3" s="1"/>
  <c r="R31" i="3"/>
  <c r="Q31" i="3"/>
  <c r="P31" i="3"/>
  <c r="H31" i="3"/>
  <c r="G31" i="3"/>
  <c r="F31" i="3"/>
  <c r="Q30" i="3"/>
  <c r="P30" i="3"/>
  <c r="R30" i="3" s="1"/>
  <c r="H30" i="3"/>
  <c r="G30" i="3"/>
  <c r="F30" i="3"/>
  <c r="Q29" i="3"/>
  <c r="R29" i="3" s="1"/>
  <c r="P29" i="3"/>
  <c r="H29" i="3"/>
  <c r="G29" i="3"/>
  <c r="F29" i="3"/>
  <c r="Q28" i="3"/>
  <c r="P28" i="3"/>
  <c r="R28" i="3" s="1"/>
  <c r="H28" i="3"/>
  <c r="G28" i="3"/>
  <c r="F28" i="3"/>
  <c r="Q27" i="3"/>
  <c r="O27" i="3"/>
  <c r="N27" i="3"/>
  <c r="M27" i="3"/>
  <c r="P27" i="3" s="1"/>
  <c r="R27" i="3" s="1"/>
  <c r="G27" i="3"/>
  <c r="E27" i="3"/>
  <c r="D27" i="3"/>
  <c r="C27" i="3"/>
  <c r="F27" i="3" s="1"/>
  <c r="H27" i="3" s="1"/>
  <c r="Q26" i="3"/>
  <c r="R26" i="3" s="1"/>
  <c r="P26" i="3"/>
  <c r="G26" i="3"/>
  <c r="F26" i="3"/>
  <c r="H26" i="3" s="1"/>
  <c r="Q25" i="3"/>
  <c r="P25" i="3"/>
  <c r="R25" i="3" s="1"/>
  <c r="G25" i="3"/>
  <c r="F25" i="3"/>
  <c r="H25" i="3" s="1"/>
  <c r="R24" i="3"/>
  <c r="Q24" i="3"/>
  <c r="P24" i="3"/>
  <c r="H24" i="3"/>
  <c r="G24" i="3"/>
  <c r="F24" i="3"/>
  <c r="Q23" i="3"/>
  <c r="P23" i="3"/>
  <c r="R23" i="3" s="1"/>
  <c r="H23" i="3"/>
  <c r="G23" i="3"/>
  <c r="F23" i="3"/>
  <c r="Q22" i="3"/>
  <c r="P22" i="3"/>
  <c r="R22" i="3" s="1"/>
  <c r="H22" i="3"/>
  <c r="G22" i="3"/>
  <c r="F22" i="3"/>
  <c r="Q21" i="3"/>
  <c r="P21" i="3"/>
  <c r="R21" i="3" s="1"/>
  <c r="H21" i="3"/>
  <c r="G21" i="3"/>
  <c r="F21" i="3"/>
  <c r="Q20" i="3"/>
  <c r="R20" i="3" s="1"/>
  <c r="P20" i="3"/>
  <c r="G20" i="3"/>
  <c r="F20" i="3"/>
  <c r="H20" i="3" s="1"/>
  <c r="Q19" i="3"/>
  <c r="O19" i="3"/>
  <c r="P19" i="3" s="1"/>
  <c r="R19" i="3" s="1"/>
  <c r="N19" i="3"/>
  <c r="M19" i="3"/>
  <c r="E19" i="3"/>
  <c r="D19" i="3"/>
  <c r="C19" i="3"/>
  <c r="G19" i="3" s="1"/>
  <c r="Q18" i="3"/>
  <c r="P18" i="3"/>
  <c r="R18" i="3" s="1"/>
  <c r="G18" i="3"/>
  <c r="F18" i="3"/>
  <c r="H18" i="3" s="1"/>
  <c r="Q17" i="3"/>
  <c r="R17" i="3" s="1"/>
  <c r="P17" i="3"/>
  <c r="H17" i="3"/>
  <c r="G17" i="3"/>
  <c r="F17" i="3"/>
  <c r="Q16" i="3"/>
  <c r="P16" i="3"/>
  <c r="R16" i="3" s="1"/>
  <c r="H16" i="3"/>
  <c r="G16" i="3"/>
  <c r="F16" i="3"/>
  <c r="Q14" i="3"/>
  <c r="P14" i="3"/>
  <c r="R14" i="3" s="1"/>
  <c r="H14" i="3"/>
  <c r="G14" i="3"/>
  <c r="F14" i="3"/>
  <c r="Q13" i="3"/>
  <c r="P13" i="3"/>
  <c r="R13" i="3" s="1"/>
  <c r="H13" i="3"/>
  <c r="G13" i="3"/>
  <c r="F13" i="3"/>
  <c r="Q12" i="3"/>
  <c r="R12" i="3" s="1"/>
  <c r="P12" i="3"/>
  <c r="G12" i="3"/>
  <c r="F12" i="3"/>
  <c r="H12" i="3" s="1"/>
  <c r="Q11" i="3"/>
  <c r="O11" i="3"/>
  <c r="P11" i="3" s="1"/>
  <c r="R11" i="3" s="1"/>
  <c r="N11" i="3"/>
  <c r="M11" i="3"/>
  <c r="E11" i="3"/>
  <c r="D11" i="3"/>
  <c r="C11" i="3"/>
  <c r="G11" i="3" s="1"/>
  <c r="Q10" i="3"/>
  <c r="P10" i="3"/>
  <c r="R10" i="3" s="1"/>
  <c r="G10" i="3"/>
  <c r="F10" i="3"/>
  <c r="H10" i="3" s="1"/>
  <c r="Q9" i="3"/>
  <c r="R9" i="3" s="1"/>
  <c r="P9" i="3"/>
  <c r="G9" i="3"/>
  <c r="F9" i="3"/>
  <c r="H9" i="3" s="1"/>
  <c r="Q8" i="3"/>
  <c r="P8" i="3"/>
  <c r="R8" i="3" s="1"/>
  <c r="H8" i="3"/>
  <c r="G8" i="3"/>
  <c r="F8" i="3"/>
  <c r="Q7" i="3"/>
  <c r="P7" i="3"/>
  <c r="R7" i="3" s="1"/>
  <c r="H7" i="3"/>
  <c r="G7" i="3"/>
  <c r="F7" i="3"/>
  <c r="Q6" i="3"/>
  <c r="P6" i="3"/>
  <c r="R6" i="3" s="1"/>
  <c r="H6" i="3"/>
  <c r="G6" i="3"/>
  <c r="F6" i="3"/>
  <c r="Q5" i="3"/>
  <c r="R5" i="3" s="1"/>
  <c r="P5" i="3"/>
  <c r="G5" i="3"/>
  <c r="F5" i="3"/>
  <c r="H5" i="3" s="1"/>
  <c r="Q4" i="3"/>
  <c r="R4" i="3" s="1"/>
  <c r="P4" i="3"/>
  <c r="H4" i="3"/>
  <c r="G4" i="3"/>
  <c r="F4" i="3"/>
  <c r="O67" i="2"/>
  <c r="N67" i="2"/>
  <c r="M67" i="2"/>
  <c r="Q67" i="2" s="1"/>
  <c r="E67" i="2"/>
  <c r="D67" i="2"/>
  <c r="C67" i="2"/>
  <c r="G67" i="2" s="1"/>
  <c r="Q66" i="2"/>
  <c r="R66" i="2" s="1"/>
  <c r="P66" i="2"/>
  <c r="G66" i="2"/>
  <c r="F66" i="2"/>
  <c r="H66" i="2" s="1"/>
  <c r="Q65" i="2"/>
  <c r="P65" i="2"/>
  <c r="R65" i="2" s="1"/>
  <c r="H65" i="2"/>
  <c r="G65" i="2"/>
  <c r="F65" i="2"/>
  <c r="Q64" i="2"/>
  <c r="P64" i="2"/>
  <c r="R64" i="2" s="1"/>
  <c r="H64" i="2"/>
  <c r="G64" i="2"/>
  <c r="F64" i="2"/>
  <c r="Q63" i="2"/>
  <c r="P63" i="2"/>
  <c r="R63" i="2" s="1"/>
  <c r="G63" i="2"/>
  <c r="H63" i="2" s="1"/>
  <c r="F63" i="2"/>
  <c r="Q62" i="2"/>
  <c r="R62" i="2" s="1"/>
  <c r="P62" i="2"/>
  <c r="H62" i="2"/>
  <c r="G62" i="2"/>
  <c r="F62" i="2"/>
  <c r="Q61" i="2"/>
  <c r="R61" i="2" s="1"/>
  <c r="P61" i="2"/>
  <c r="H61" i="2"/>
  <c r="G61" i="2"/>
  <c r="F61" i="2"/>
  <c r="Q60" i="2"/>
  <c r="P60" i="2"/>
  <c r="R60" i="2" s="1"/>
  <c r="G60" i="2"/>
  <c r="F60" i="2"/>
  <c r="H60" i="2" s="1"/>
  <c r="O59" i="2"/>
  <c r="N59" i="2"/>
  <c r="M59" i="2"/>
  <c r="Q59" i="2" s="1"/>
  <c r="G59" i="2"/>
  <c r="E59" i="2"/>
  <c r="D59" i="2"/>
  <c r="C59" i="2"/>
  <c r="F59" i="2" s="1"/>
  <c r="H59" i="2" s="1"/>
  <c r="Q58" i="2"/>
  <c r="P58" i="2"/>
  <c r="R58" i="2" s="1"/>
  <c r="H58" i="2"/>
  <c r="G58" i="2"/>
  <c r="F58" i="2"/>
  <c r="Q56" i="2"/>
  <c r="P56" i="2"/>
  <c r="R56" i="2" s="1"/>
  <c r="H56" i="2"/>
  <c r="G56" i="2"/>
  <c r="F56" i="2"/>
  <c r="Q55" i="2"/>
  <c r="P55" i="2"/>
  <c r="R55" i="2" s="1"/>
  <c r="G55" i="2"/>
  <c r="H55" i="2" s="1"/>
  <c r="F55" i="2"/>
  <c r="Q54" i="2"/>
  <c r="R54" i="2" s="1"/>
  <c r="P54" i="2"/>
  <c r="H54" i="2"/>
  <c r="G54" i="2"/>
  <c r="F54" i="2"/>
  <c r="Q53" i="2"/>
  <c r="R53" i="2" s="1"/>
  <c r="P53" i="2"/>
  <c r="H53" i="2"/>
  <c r="G53" i="2"/>
  <c r="F53" i="2"/>
  <c r="Q52" i="2"/>
  <c r="P52" i="2"/>
  <c r="R52" i="2" s="1"/>
  <c r="G52" i="2"/>
  <c r="F52" i="2"/>
  <c r="H52" i="2" s="1"/>
  <c r="O51" i="2"/>
  <c r="N51" i="2"/>
  <c r="M51" i="2"/>
  <c r="Q51" i="2" s="1"/>
  <c r="G51" i="2"/>
  <c r="E51" i="2"/>
  <c r="D51" i="2"/>
  <c r="C51" i="2"/>
  <c r="F51" i="2" s="1"/>
  <c r="H51" i="2" s="1"/>
  <c r="Q50" i="2"/>
  <c r="P50" i="2"/>
  <c r="R50" i="2" s="1"/>
  <c r="H50" i="2"/>
  <c r="G50" i="2"/>
  <c r="F50" i="2"/>
  <c r="Q48" i="2"/>
  <c r="P48" i="2"/>
  <c r="R48" i="2" s="1"/>
  <c r="H48" i="2"/>
  <c r="G48" i="2"/>
  <c r="F48" i="2"/>
  <c r="G47" i="2"/>
  <c r="F47" i="2"/>
  <c r="H47" i="2" s="1"/>
  <c r="Q46" i="2"/>
  <c r="R46" i="2" s="1"/>
  <c r="P46" i="2"/>
  <c r="G46" i="2"/>
  <c r="H46" i="2" s="1"/>
  <c r="F46" i="2"/>
  <c r="Q45" i="2"/>
  <c r="R45" i="2" s="1"/>
  <c r="P45" i="2"/>
  <c r="G45" i="2"/>
  <c r="H45" i="2" s="1"/>
  <c r="F45" i="2"/>
  <c r="R44" i="2"/>
  <c r="Q44" i="2"/>
  <c r="P44" i="2"/>
  <c r="G44" i="2"/>
  <c r="F44" i="2"/>
  <c r="H44" i="2" s="1"/>
  <c r="Q43" i="2"/>
  <c r="P43" i="2"/>
  <c r="R43" i="2" s="1"/>
  <c r="O43" i="2"/>
  <c r="N43" i="2"/>
  <c r="M43" i="2"/>
  <c r="G43" i="2"/>
  <c r="F43" i="2"/>
  <c r="H43" i="2" s="1"/>
  <c r="E43" i="2"/>
  <c r="D43" i="2"/>
  <c r="C43" i="2"/>
  <c r="Q42" i="2"/>
  <c r="P42" i="2"/>
  <c r="R42" i="2" s="1"/>
  <c r="G42" i="2"/>
  <c r="F42" i="2"/>
  <c r="H42" i="2" s="1"/>
  <c r="R40" i="2"/>
  <c r="Q40" i="2"/>
  <c r="P40" i="2"/>
  <c r="G40" i="2"/>
  <c r="F40" i="2"/>
  <c r="H40" i="2" s="1"/>
  <c r="R39" i="2"/>
  <c r="Q39" i="2"/>
  <c r="P39" i="2"/>
  <c r="G39" i="2"/>
  <c r="F39" i="2"/>
  <c r="H39" i="2" s="1"/>
  <c r="Q38" i="2"/>
  <c r="R38" i="2" s="1"/>
  <c r="P38" i="2"/>
  <c r="G38" i="2"/>
  <c r="H38" i="2" s="1"/>
  <c r="F38" i="2"/>
  <c r="Q37" i="2"/>
  <c r="R37" i="2" s="1"/>
  <c r="P37" i="2"/>
  <c r="G37" i="2"/>
  <c r="H37" i="2" s="1"/>
  <c r="F37" i="2"/>
  <c r="R36" i="2"/>
  <c r="Q36" i="2"/>
  <c r="P36" i="2"/>
  <c r="G36" i="2"/>
  <c r="F36" i="2"/>
  <c r="H36" i="2" s="1"/>
  <c r="Q35" i="2"/>
  <c r="P35" i="2"/>
  <c r="R35" i="2" s="1"/>
  <c r="O35" i="2"/>
  <c r="N35" i="2"/>
  <c r="M35" i="2"/>
  <c r="G35" i="2"/>
  <c r="F35" i="2"/>
  <c r="H35" i="2" s="1"/>
  <c r="E35" i="2"/>
  <c r="D35" i="2"/>
  <c r="C35" i="2"/>
  <c r="Q34" i="2"/>
  <c r="P34" i="2"/>
  <c r="R34" i="2" s="1"/>
  <c r="G34" i="2"/>
  <c r="F34" i="2"/>
  <c r="H34" i="2" s="1"/>
  <c r="R32" i="2"/>
  <c r="Q32" i="2"/>
  <c r="P32" i="2"/>
  <c r="G32" i="2"/>
  <c r="F32" i="2"/>
  <c r="H32" i="2" s="1"/>
  <c r="R31" i="2"/>
  <c r="Q31" i="2"/>
  <c r="P31" i="2"/>
  <c r="G31" i="2"/>
  <c r="F31" i="2"/>
  <c r="H31" i="2" s="1"/>
  <c r="Q30" i="2"/>
  <c r="R30" i="2" s="1"/>
  <c r="P30" i="2"/>
  <c r="G30" i="2"/>
  <c r="H30" i="2" s="1"/>
  <c r="F30" i="2"/>
  <c r="Q29" i="2"/>
  <c r="R29" i="2" s="1"/>
  <c r="P29" i="2"/>
  <c r="G29" i="2"/>
  <c r="H29" i="2" s="1"/>
  <c r="F29" i="2"/>
  <c r="R28" i="2"/>
  <c r="Q28" i="2"/>
  <c r="P28" i="2"/>
  <c r="G28" i="2"/>
  <c r="F28" i="2"/>
  <c r="H28" i="2" s="1"/>
  <c r="Q27" i="2"/>
  <c r="P27" i="2"/>
  <c r="R27" i="2" s="1"/>
  <c r="O27" i="2"/>
  <c r="N27" i="2"/>
  <c r="M27" i="2"/>
  <c r="G27" i="2"/>
  <c r="F27" i="2"/>
  <c r="H27" i="2" s="1"/>
  <c r="E27" i="2"/>
  <c r="D27" i="2"/>
  <c r="C27" i="2"/>
  <c r="Q26" i="2"/>
  <c r="P26" i="2"/>
  <c r="R26" i="2" s="1"/>
  <c r="G26" i="2"/>
  <c r="F26" i="2"/>
  <c r="H26" i="2" s="1"/>
  <c r="R25" i="2"/>
  <c r="Q25" i="2"/>
  <c r="P25" i="2"/>
  <c r="G25" i="2"/>
  <c r="F25" i="2"/>
  <c r="H25" i="2" s="1"/>
  <c r="R24" i="2"/>
  <c r="Q24" i="2"/>
  <c r="P24" i="2"/>
  <c r="G24" i="2"/>
  <c r="F24" i="2"/>
  <c r="H24" i="2" s="1"/>
  <c r="Q23" i="2"/>
  <c r="P23" i="2"/>
  <c r="R23" i="2" s="1"/>
  <c r="G23" i="2"/>
  <c r="H23" i="2" s="1"/>
  <c r="F23" i="2"/>
  <c r="Q22" i="2"/>
  <c r="R22" i="2" s="1"/>
  <c r="P22" i="2"/>
  <c r="G22" i="2"/>
  <c r="H22" i="2" s="1"/>
  <c r="F22" i="2"/>
  <c r="R21" i="2"/>
  <c r="Q21" i="2"/>
  <c r="P21" i="2"/>
  <c r="G21" i="2"/>
  <c r="F21" i="2"/>
  <c r="H21" i="2" s="1"/>
  <c r="Q20" i="2"/>
  <c r="P20" i="2"/>
  <c r="R20" i="2" s="1"/>
  <c r="G20" i="2"/>
  <c r="F20" i="2"/>
  <c r="H20" i="2" s="1"/>
  <c r="Q19" i="2"/>
  <c r="P19" i="2"/>
  <c r="R19" i="2" s="1"/>
  <c r="O19" i="2"/>
  <c r="N19" i="2"/>
  <c r="M19" i="2"/>
  <c r="E19" i="2"/>
  <c r="D19" i="2"/>
  <c r="C19" i="2"/>
  <c r="G19" i="2" s="1"/>
  <c r="R18" i="2"/>
  <c r="Q18" i="2"/>
  <c r="P18" i="2"/>
  <c r="G18" i="2"/>
  <c r="F18" i="2"/>
  <c r="H18" i="2" s="1"/>
  <c r="R17" i="2"/>
  <c r="Q17" i="2"/>
  <c r="P17" i="2"/>
  <c r="H17" i="2"/>
  <c r="G17" i="2"/>
  <c r="F17" i="2"/>
  <c r="Q16" i="2"/>
  <c r="P16" i="2"/>
  <c r="R16" i="2" s="1"/>
  <c r="G16" i="2"/>
  <c r="H16" i="2" s="1"/>
  <c r="F16" i="2"/>
  <c r="R14" i="2"/>
  <c r="Q14" i="2"/>
  <c r="P14" i="2"/>
  <c r="G14" i="2"/>
  <c r="H14" i="2" s="1"/>
  <c r="F14" i="2"/>
  <c r="R13" i="2"/>
  <c r="Q13" i="2"/>
  <c r="P13" i="2"/>
  <c r="G13" i="2"/>
  <c r="F13" i="2"/>
  <c r="H13" i="2" s="1"/>
  <c r="Q12" i="2"/>
  <c r="P12" i="2"/>
  <c r="R12" i="2" s="1"/>
  <c r="G12" i="2"/>
  <c r="F12" i="2"/>
  <c r="H12" i="2" s="1"/>
  <c r="Q11" i="2"/>
  <c r="P11" i="2"/>
  <c r="R11" i="2" s="1"/>
  <c r="O11" i="2"/>
  <c r="N11" i="2"/>
  <c r="M11" i="2"/>
  <c r="E11" i="2"/>
  <c r="D11" i="2"/>
  <c r="C11" i="2"/>
  <c r="G11" i="2" s="1"/>
  <c r="R10" i="2"/>
  <c r="Q10" i="2"/>
  <c r="P10" i="2"/>
  <c r="G10" i="2"/>
  <c r="F10" i="2"/>
  <c r="H10" i="2" s="1"/>
  <c r="R9" i="2"/>
  <c r="Q9" i="2"/>
  <c r="P9" i="2"/>
  <c r="H9" i="2"/>
  <c r="G9" i="2"/>
  <c r="F9" i="2"/>
  <c r="Q8" i="2"/>
  <c r="P8" i="2"/>
  <c r="R8" i="2" s="1"/>
  <c r="G8" i="2"/>
  <c r="H8" i="2" s="1"/>
  <c r="F8" i="2"/>
  <c r="R7" i="2"/>
  <c r="Q7" i="2"/>
  <c r="P7" i="2"/>
  <c r="G7" i="2"/>
  <c r="H7" i="2" s="1"/>
  <c r="F7" i="2"/>
  <c r="R6" i="2"/>
  <c r="Q6" i="2"/>
  <c r="P6" i="2"/>
  <c r="G6" i="2"/>
  <c r="F6" i="2"/>
  <c r="H6" i="2" s="1"/>
  <c r="Q5" i="2"/>
  <c r="P5" i="2"/>
  <c r="R5" i="2" s="1"/>
  <c r="G5" i="2"/>
  <c r="F5" i="2"/>
  <c r="H5" i="2" s="1"/>
  <c r="Q4" i="2"/>
  <c r="P4" i="2"/>
  <c r="R4" i="2" s="1"/>
  <c r="H4" i="2"/>
  <c r="G4" i="2"/>
  <c r="F4" i="2"/>
  <c r="O68" i="1"/>
  <c r="N68" i="1"/>
  <c r="M68" i="1"/>
  <c r="Q68" i="1" s="1"/>
  <c r="D68" i="1"/>
  <c r="Q67" i="1"/>
  <c r="P67" i="1"/>
  <c r="R67" i="1" s="1"/>
  <c r="Q66" i="1"/>
  <c r="P66" i="1"/>
  <c r="R66" i="1" s="1"/>
  <c r="R65" i="1"/>
  <c r="Q65" i="1"/>
  <c r="P65" i="1"/>
  <c r="R64" i="1"/>
  <c r="Q64" i="1"/>
  <c r="P64" i="1"/>
  <c r="Q63" i="1"/>
  <c r="P63" i="1"/>
  <c r="R63" i="1" s="1"/>
  <c r="R62" i="1"/>
  <c r="Q62" i="1"/>
  <c r="P62" i="1"/>
  <c r="Q61" i="1"/>
  <c r="P61" i="1"/>
  <c r="R61" i="1" s="1"/>
  <c r="Q60" i="1"/>
  <c r="O60" i="1"/>
  <c r="P60" i="1" s="1"/>
  <c r="R60" i="1" s="1"/>
  <c r="N60" i="1"/>
  <c r="M60" i="1"/>
  <c r="E60" i="1"/>
  <c r="F60" i="1" s="1"/>
  <c r="D60" i="1"/>
  <c r="G60" i="1" s="1"/>
  <c r="C60" i="1"/>
  <c r="R59" i="1"/>
  <c r="Q59" i="1"/>
  <c r="P59" i="1"/>
  <c r="G59" i="1"/>
  <c r="F59" i="1"/>
  <c r="H59" i="1" s="1"/>
  <c r="R57" i="1"/>
  <c r="Q57" i="1"/>
  <c r="P57" i="1"/>
  <c r="G57" i="1"/>
  <c r="F57" i="1"/>
  <c r="H57" i="1" s="1"/>
  <c r="Q56" i="1"/>
  <c r="P56" i="1"/>
  <c r="R56" i="1" s="1"/>
  <c r="G56" i="1"/>
  <c r="H56" i="1" s="1"/>
  <c r="F56" i="1"/>
  <c r="Q55" i="1"/>
  <c r="P55" i="1"/>
  <c r="R55" i="1" s="1"/>
  <c r="H55" i="1"/>
  <c r="G55" i="1"/>
  <c r="F55" i="1"/>
  <c r="Q54" i="1"/>
  <c r="P54" i="1"/>
  <c r="R54" i="1" s="1"/>
  <c r="G54" i="1"/>
  <c r="F54" i="1"/>
  <c r="H54" i="1" s="1"/>
  <c r="R53" i="1"/>
  <c r="Q53" i="1"/>
  <c r="P53" i="1"/>
  <c r="G53" i="1"/>
  <c r="F53" i="1"/>
  <c r="H53" i="1" s="1"/>
  <c r="O52" i="1"/>
  <c r="N52" i="1"/>
  <c r="Q52" i="1" s="1"/>
  <c r="M52" i="1"/>
  <c r="P52" i="1" s="1"/>
  <c r="R52" i="1" s="1"/>
  <c r="E52" i="1"/>
  <c r="F52" i="1" s="1"/>
  <c r="H52" i="1" s="1"/>
  <c r="D52" i="1"/>
  <c r="C52" i="1"/>
  <c r="G52" i="1" s="1"/>
  <c r="Q51" i="1"/>
  <c r="P51" i="1"/>
  <c r="R51" i="1" s="1"/>
  <c r="H51" i="1"/>
  <c r="G51" i="1"/>
  <c r="F51" i="1"/>
  <c r="Q49" i="1"/>
  <c r="P49" i="1"/>
  <c r="R49" i="1" s="1"/>
  <c r="H49" i="1"/>
  <c r="G49" i="1"/>
  <c r="F49" i="1"/>
  <c r="Q48" i="1"/>
  <c r="P48" i="1"/>
  <c r="R48" i="1" s="1"/>
  <c r="H48" i="1"/>
  <c r="G48" i="1"/>
  <c r="F48" i="1"/>
  <c r="R47" i="1"/>
  <c r="Q47" i="1"/>
  <c r="P47" i="1"/>
  <c r="G47" i="1"/>
  <c r="F47" i="1"/>
  <c r="H47" i="1" s="1"/>
  <c r="R46" i="1"/>
  <c r="Q46" i="1"/>
  <c r="P46" i="1"/>
  <c r="G46" i="1"/>
  <c r="F46" i="1"/>
  <c r="H46" i="1" s="1"/>
  <c r="R45" i="1"/>
  <c r="Q45" i="1"/>
  <c r="P45" i="1"/>
  <c r="G45" i="1"/>
  <c r="F45" i="1"/>
  <c r="H45" i="1" s="1"/>
  <c r="O44" i="1"/>
  <c r="N44" i="1"/>
  <c r="M44" i="1"/>
  <c r="Q44" i="1" s="1"/>
  <c r="E44" i="1"/>
  <c r="F44" i="1" s="1"/>
  <c r="H44" i="1" s="1"/>
  <c r="D44" i="1"/>
  <c r="C44" i="1"/>
  <c r="G44" i="1" s="1"/>
  <c r="Q43" i="1"/>
  <c r="P43" i="1"/>
  <c r="R43" i="1" s="1"/>
  <c r="H43" i="1"/>
  <c r="G43" i="1"/>
  <c r="F43" i="1"/>
  <c r="Q41" i="1"/>
  <c r="P41" i="1"/>
  <c r="R41" i="1" s="1"/>
  <c r="H41" i="1"/>
  <c r="G41" i="1"/>
  <c r="F41" i="1"/>
  <c r="Q40" i="1"/>
  <c r="P40" i="1"/>
  <c r="R40" i="1" s="1"/>
  <c r="H40" i="1"/>
  <c r="G40" i="1"/>
  <c r="F40" i="1"/>
  <c r="R39" i="1"/>
  <c r="Q39" i="1"/>
  <c r="P39" i="1"/>
  <c r="G39" i="1"/>
  <c r="F39" i="1"/>
  <c r="H39" i="1" s="1"/>
  <c r="R38" i="1"/>
  <c r="Q38" i="1"/>
  <c r="P38" i="1"/>
  <c r="G38" i="1"/>
  <c r="F38" i="1"/>
  <c r="H38" i="1" s="1"/>
  <c r="R37" i="1"/>
  <c r="Q37" i="1"/>
  <c r="P37" i="1"/>
  <c r="G37" i="1"/>
  <c r="F37" i="1"/>
  <c r="H37" i="1" s="1"/>
  <c r="O36" i="1"/>
  <c r="N36" i="1"/>
  <c r="M36" i="1"/>
  <c r="Q36" i="1" s="1"/>
  <c r="E36" i="1"/>
  <c r="D36" i="1"/>
  <c r="C36" i="1"/>
  <c r="G36" i="1" s="1"/>
  <c r="Q35" i="1"/>
  <c r="P35" i="1"/>
  <c r="R35" i="1" s="1"/>
  <c r="H35" i="1"/>
  <c r="G35" i="1"/>
  <c r="F35" i="1"/>
  <c r="Q33" i="1"/>
  <c r="P33" i="1"/>
  <c r="R33" i="1" s="1"/>
  <c r="H33" i="1"/>
  <c r="G33" i="1"/>
  <c r="F33" i="1"/>
  <c r="Q32" i="1"/>
  <c r="P32" i="1"/>
  <c r="R32" i="1" s="1"/>
  <c r="H32" i="1"/>
  <c r="G32" i="1"/>
  <c r="F32" i="1"/>
  <c r="R31" i="1"/>
  <c r="Q31" i="1"/>
  <c r="P31" i="1"/>
  <c r="G31" i="1"/>
  <c r="F31" i="1"/>
  <c r="H31" i="1" s="1"/>
  <c r="R30" i="1"/>
  <c r="Q30" i="1"/>
  <c r="P30" i="1"/>
  <c r="G30" i="1"/>
  <c r="F30" i="1"/>
  <c r="H30" i="1" s="1"/>
  <c r="R29" i="1"/>
  <c r="Q29" i="1"/>
  <c r="P29" i="1"/>
  <c r="G29" i="1"/>
  <c r="F29" i="1"/>
  <c r="H29" i="1" s="1"/>
  <c r="O28" i="1"/>
  <c r="N28" i="1"/>
  <c r="M28" i="1"/>
  <c r="Q28" i="1" s="1"/>
  <c r="E28" i="1"/>
  <c r="D28" i="1"/>
  <c r="C28" i="1"/>
  <c r="G28" i="1" s="1"/>
  <c r="Q27" i="1"/>
  <c r="P27" i="1"/>
  <c r="R27" i="1" s="1"/>
  <c r="H27" i="1"/>
  <c r="G27" i="1"/>
  <c r="F27" i="1"/>
  <c r="Q26" i="1"/>
  <c r="P26" i="1"/>
  <c r="R26" i="1" s="1"/>
  <c r="H26" i="1"/>
  <c r="G26" i="1"/>
  <c r="F26" i="1"/>
  <c r="Q25" i="1"/>
  <c r="P25" i="1"/>
  <c r="R25" i="1" s="1"/>
  <c r="H25" i="1"/>
  <c r="G25" i="1"/>
  <c r="F25" i="1"/>
  <c r="Q24" i="1"/>
  <c r="R24" i="1" s="1"/>
  <c r="P24" i="1"/>
  <c r="G24" i="1"/>
  <c r="F24" i="1"/>
  <c r="H24" i="1" s="1"/>
  <c r="Q23" i="1"/>
  <c r="R23" i="1" s="1"/>
  <c r="P23" i="1"/>
  <c r="G23" i="1"/>
  <c r="F23" i="1"/>
  <c r="H23" i="1" s="1"/>
  <c r="R22" i="1"/>
  <c r="Q22" i="1"/>
  <c r="P22" i="1"/>
  <c r="G22" i="1"/>
  <c r="F22" i="1"/>
  <c r="H22" i="1" s="1"/>
  <c r="Q21" i="1"/>
  <c r="P21" i="1"/>
  <c r="R21" i="1" s="1"/>
  <c r="G21" i="1"/>
  <c r="F21" i="1"/>
  <c r="H21" i="1" s="1"/>
  <c r="O20" i="1"/>
  <c r="N20" i="1"/>
  <c r="M20" i="1"/>
  <c r="Q20" i="1" s="1"/>
  <c r="E20" i="1"/>
  <c r="F20" i="1" s="1"/>
  <c r="D20" i="1"/>
  <c r="C20" i="1"/>
  <c r="G20" i="1" s="1"/>
  <c r="Q19" i="1"/>
  <c r="P19" i="1"/>
  <c r="R19" i="1" s="1"/>
  <c r="H19" i="1"/>
  <c r="G19" i="1"/>
  <c r="F19" i="1"/>
  <c r="Q18" i="1"/>
  <c r="P18" i="1"/>
  <c r="R18" i="1" s="1"/>
  <c r="H18" i="1"/>
  <c r="G18" i="1"/>
  <c r="F18" i="1"/>
  <c r="Q17" i="1"/>
  <c r="R17" i="1" s="1"/>
  <c r="P17" i="1"/>
  <c r="G17" i="1"/>
  <c r="F17" i="1"/>
  <c r="H17" i="1" s="1"/>
  <c r="Q15" i="1"/>
  <c r="R15" i="1" s="1"/>
  <c r="P15" i="1"/>
  <c r="G15" i="1"/>
  <c r="F15" i="1"/>
  <c r="H15" i="1" s="1"/>
  <c r="R14" i="1"/>
  <c r="Q14" i="1"/>
  <c r="P14" i="1"/>
  <c r="G14" i="1"/>
  <c r="F14" i="1"/>
  <c r="H14" i="1" s="1"/>
  <c r="R13" i="1"/>
  <c r="Q13" i="1"/>
  <c r="P13" i="1"/>
  <c r="G13" i="1"/>
  <c r="F13" i="1"/>
  <c r="H13" i="1" s="1"/>
  <c r="O12" i="1"/>
  <c r="N12" i="1"/>
  <c r="M12" i="1"/>
  <c r="Q12" i="1" s="1"/>
  <c r="E12" i="1"/>
  <c r="F12" i="1" s="1"/>
  <c r="D12" i="1"/>
  <c r="C12" i="1"/>
  <c r="G12" i="1" s="1"/>
  <c r="Q11" i="1"/>
  <c r="P11" i="1"/>
  <c r="R11" i="1" s="1"/>
  <c r="H11" i="1"/>
  <c r="G11" i="1"/>
  <c r="F11" i="1"/>
  <c r="Q10" i="1"/>
  <c r="P10" i="1"/>
  <c r="R10" i="1" s="1"/>
  <c r="H10" i="1"/>
  <c r="G10" i="1"/>
  <c r="F10" i="1"/>
  <c r="Q9" i="1"/>
  <c r="R9" i="1" s="1"/>
  <c r="P9" i="1"/>
  <c r="G9" i="1"/>
  <c r="F9" i="1"/>
  <c r="H9" i="1" s="1"/>
  <c r="Q8" i="1"/>
  <c r="P8" i="1"/>
  <c r="R8" i="1" s="1"/>
  <c r="G8" i="1"/>
  <c r="F8" i="1"/>
  <c r="H8" i="1" s="1"/>
  <c r="R7" i="1"/>
  <c r="Q7" i="1"/>
  <c r="P7" i="1"/>
  <c r="G7" i="1"/>
  <c r="F7" i="1"/>
  <c r="H7" i="1" s="1"/>
  <c r="R6" i="1"/>
  <c r="Q6" i="1"/>
  <c r="P6" i="1"/>
  <c r="G6" i="1"/>
  <c r="F6" i="1"/>
  <c r="H6" i="1" s="1"/>
  <c r="R5" i="1"/>
  <c r="Q5" i="1"/>
  <c r="P5" i="1"/>
  <c r="G5" i="1"/>
  <c r="H5" i="1" s="1"/>
  <c r="F5" i="1"/>
  <c r="H60" i="1" l="1"/>
  <c r="H28" i="4"/>
  <c r="H36" i="4"/>
  <c r="H44" i="4"/>
  <c r="R36" i="4"/>
  <c r="H52" i="4"/>
  <c r="R12" i="4"/>
  <c r="R44" i="4"/>
  <c r="H60" i="4"/>
  <c r="H12" i="1"/>
  <c r="H20" i="1"/>
  <c r="R52" i="4"/>
  <c r="G51" i="3"/>
  <c r="H51" i="3" s="1"/>
  <c r="G59" i="3"/>
  <c r="H59" i="3" s="1"/>
  <c r="C67" i="3"/>
  <c r="P51" i="2"/>
  <c r="R51" i="2" s="1"/>
  <c r="P59" i="2"/>
  <c r="R59" i="2" s="1"/>
  <c r="F67" i="2"/>
  <c r="H67" i="2" s="1"/>
  <c r="P12" i="1"/>
  <c r="R12" i="1" s="1"/>
  <c r="P20" i="1"/>
  <c r="R20" i="1" s="1"/>
  <c r="F28" i="1"/>
  <c r="H28" i="1" s="1"/>
  <c r="F36" i="1"/>
  <c r="H36" i="1" s="1"/>
  <c r="P67" i="2"/>
  <c r="R67" i="2" s="1"/>
  <c r="F11" i="3"/>
  <c r="H11" i="3" s="1"/>
  <c r="F19" i="3"/>
  <c r="H19" i="3" s="1"/>
  <c r="P68" i="1"/>
  <c r="R68" i="1" s="1"/>
  <c r="F11" i="2"/>
  <c r="H11" i="2" s="1"/>
  <c r="F19" i="2"/>
  <c r="H19" i="2" s="1"/>
  <c r="F20" i="4"/>
  <c r="H20" i="4" s="1"/>
  <c r="P28" i="1"/>
  <c r="R28" i="1" s="1"/>
  <c r="P36" i="1"/>
  <c r="R36" i="1" s="1"/>
  <c r="P44" i="1"/>
  <c r="R44" i="1" s="1"/>
  <c r="G67" i="3" l="1"/>
  <c r="F67" i="3"/>
  <c r="H67" i="3" s="1"/>
</calcChain>
</file>

<file path=xl/sharedStrings.xml><?xml version="1.0" encoding="utf-8"?>
<sst xmlns="http://schemas.openxmlformats.org/spreadsheetml/2006/main" count="1076" uniqueCount="125">
  <si>
    <t>GPT4o</t>
  </si>
  <si>
    <t>Claude 3.5 Sonnet</t>
  </si>
  <si>
    <t>System Name</t>
  </si>
  <si>
    <t>Component</t>
  </si>
  <si>
    <t>TP</t>
  </si>
  <si>
    <t>FN</t>
  </si>
  <si>
    <t>FP</t>
  </si>
  <si>
    <t>Precision</t>
  </si>
  <si>
    <t>Recall</t>
  </si>
  <si>
    <t>F-Score</t>
  </si>
  <si>
    <t>Image reference</t>
  </si>
  <si>
    <t>Dishwasher
(single prompt)</t>
  </si>
  <si>
    <t>States</t>
  </si>
  <si>
    <t>Dishwasher_single_prompt_001_3d861c05a72cff5d3c2f18e4de10b1c2c2bf591a.png</t>
  </si>
  <si>
    <t>Dishwasher_single_prompt_f700645345f84b5acffd751f426344ed704910d9.png</t>
  </si>
  <si>
    <t>Transitions</t>
  </si>
  <si>
    <t>Guards</t>
  </si>
  <si>
    <t>Actions</t>
  </si>
  <si>
    <t>Hierarchical states</t>
  </si>
  <si>
    <t>Parallel Regions</t>
  </si>
  <si>
    <t>History States</t>
  </si>
  <si>
    <t>All</t>
  </si>
  <si>
    <t>Spa manager
(single prompt)</t>
  </si>
  <si>
    <t>Spa_Manager_single_prompt_001_3d861c05a72cff5d3c2f18e4de10b1c2c2bf591a.png</t>
  </si>
  <si>
    <t>Spa_Manager_single_prompt_f700645345f84b5acffd751f426344ed704910d9.png</t>
  </si>
  <si>
    <t>N/A</t>
  </si>
  <si>
    <t>Digital chess clock
(single prompt)</t>
  </si>
  <si>
    <t>Digital_Chess_Clock_single_prompt_001_3d861c05a72cff5d3c2f18e4de10b1c2c2bf591a.png</t>
  </si>
  <si>
    <t>Chess_Clock_single_prompt_f700645345f84b5acffd751f426344ed704910d9.png</t>
  </si>
  <si>
    <t>Thermomix
(single prompt)</t>
  </si>
  <si>
    <t>Thermomix_single_prompt_01a83b1c6f908c9f44061413233b24a96c026188.png</t>
  </si>
  <si>
    <t>Thermomix_single_prompt_f700645345f84b5acffd751f426344ed704910d9.png</t>
  </si>
  <si>
    <t>SSC7
(single prompt)</t>
  </si>
  <si>
    <t>SSC7_single_prompt_01a83b1c6f908c9f44061413233b24a96c026188.png</t>
  </si>
  <si>
    <t>SSC7_single_prompt_f700645345f84b5acffd751f426344ed704910d9.png</t>
  </si>
  <si>
    <t>Printer
(single prompt)</t>
  </si>
  <si>
    <t>Printer_single_prompt_01a83b1c6f908c9f44061413233b24a96c026188.png</t>
  </si>
  <si>
    <t>Printer_single_prompt_f700645345f84b5acffd751f426344ed704910d9.png</t>
  </si>
  <si>
    <t>Automatic Bread Maker
(single prompt)</t>
  </si>
  <si>
    <t>Automatic_Bread_Maker_single_prompt_01a83b1c6f908c9f44061413233b24a96c026188.png</t>
  </si>
  <si>
    <t>Automatic_Bread_Maker_single_prompt_f700645345f84b5acffd751f426344ed704910d9.png</t>
  </si>
  <si>
    <t>WUMPLE (single prompt)</t>
  </si>
  <si>
    <t>Not working even after 15 attempts</t>
  </si>
  <si>
    <t>Wumple_single_prompt_f700645345f84b5acffd751f426344ed704910d9.png</t>
  </si>
  <si>
    <t>Image Reference</t>
  </si>
  <si>
    <t>Dishwasher
(structure-driven)</t>
  </si>
  <si>
    <t>Dishwasher_structure_driven_24eb0c530424239019e7205df0b0e5b24901845d.png</t>
  </si>
  <si>
    <t>Dishwasher_structure_driven_583e30ac44ccb9f86581a212f3cf87940cd68aa8.png</t>
  </si>
  <si>
    <t>-</t>
  </si>
  <si>
    <t>Spa manager
(structure-driven)</t>
  </si>
  <si>
    <t>Spamanager_structure_driven_24eb0c530424239019e7205df0b0e5b24901845d.png</t>
  </si>
  <si>
    <t>Spamanager_structure_driven_583e30ac44ccb9f86581a212f3cf87940cd68aa8.png</t>
  </si>
  <si>
    <t>Digital chess clock
(structure-driven)</t>
  </si>
  <si>
    <t>ChessClock_structure_driven_24eb0c530424239019e7205df0b0e5b24901845d.png</t>
  </si>
  <si>
    <t>ChessClock_structure_driven_583e30ac44ccb9f86581a212f3cf87940cd68aa8.png</t>
  </si>
  <si>
    <t>Thermomix
(structure-driven)</t>
  </si>
  <si>
    <t>Thermomix_structure_driven_24eb0c530424239019e7205df0b0e5b24901845d.png</t>
  </si>
  <si>
    <t>Thermomix_structure_driven_583e30ac44ccb9f86581a212f3cf87940cd68aa8.png</t>
  </si>
  <si>
    <t>SSC7
(structure-driven)</t>
  </si>
  <si>
    <t>SSC7_structure_driven_24eb0c530424239019e7205df0b0e5b24901845d.png</t>
  </si>
  <si>
    <t>SSC7_structure_driven_583e30ac44ccb9f86581a212f3cf87940cd68aa8.png</t>
  </si>
  <si>
    <t>Printer
(structure-driven)</t>
  </si>
  <si>
    <t>Printer_structure_driven_24eb0c530424239019e7205df0b0e5b24901845d.png</t>
  </si>
  <si>
    <t>Printer_structure_driven_583e30ac44ccb9f86581a212f3cf87940cd68aa8.png</t>
  </si>
  <si>
    <t>NA</t>
  </si>
  <si>
    <t>Automatic Bread Maker
(structure-driven)</t>
  </si>
  <si>
    <t>Breadmaker_structure_driven_24eb0c530424239019e7205df0b0e5b24901845d.png</t>
  </si>
  <si>
    <t>Breadmaker_structure_driven_583e30ac44ccb9f86581a212f3cf87940cd68aa8.png</t>
  </si>
  <si>
    <t>WUMPLE (structure-driven)</t>
  </si>
  <si>
    <t>WUMPLE_structure_driven_24eb0c530424239019e7205df0b0e5b24901845d.png</t>
  </si>
  <si>
    <t>WUMPLE_structure_driven_583e30ac44ccb9f86581a212f3cf87940cd68aa8.png</t>
  </si>
  <si>
    <t>Image references</t>
  </si>
  <si>
    <t>Dishwasher
(event-driven)</t>
  </si>
  <si>
    <t>Dishwasher_event_driven_583e30ac44ccb9f86581a212f3cf87940cd68aa8.png</t>
  </si>
  <si>
    <t>Spa manager
(event-driven)</t>
  </si>
  <si>
    <t>Spamanager_event_driven_583e30ac44ccb9f86581a212f3cf87940cd68aa8.png</t>
  </si>
  <si>
    <t>Digital chess clock
(event-driven)</t>
  </si>
  <si>
    <t>ChessClock_event_driven_583e30ac44ccb9f86581a212f3cf87940cd68aa8.png</t>
  </si>
  <si>
    <t>Thermomix
(event-driven)</t>
  </si>
  <si>
    <t>Thermomix_event_driven_583e30ac44ccb9f86581a212f3cf87940cd68aa8.png</t>
  </si>
  <si>
    <t>SSC7
(event-driven)</t>
  </si>
  <si>
    <t>SSC7_event_driven_583e30ac44ccb9f86581a212f3cf87940cd68aa8.png</t>
  </si>
  <si>
    <t>Printer
(event-driven)</t>
  </si>
  <si>
    <t>Printer_event_driven_583e30ac44ccb9f86581a212f3cf87940cd68aa8.png</t>
  </si>
  <si>
    <t>Automatic Bread Maker
(event-driven)</t>
  </si>
  <si>
    <t>Breadmaker_event_driven_583e30ac44ccb9f86581a212f3cf87940cd68aa8.png</t>
  </si>
  <si>
    <t>WUMPLE (event-driven)</t>
  </si>
  <si>
    <t>WUMPLE_event_driven_583e30ac44ccb9f86581a212f3cf87940cd68aa8.png</t>
  </si>
  <si>
    <t>GPT 4o results</t>
  </si>
  <si>
    <t>Claude 3.5 Sonnet Results</t>
  </si>
  <si>
    <t>Dishwasher
(GPT 4o)</t>
  </si>
  <si>
    <t>Dishwasher_hybrid_c0b8e0fb328a0478276e06bf3fbb2671236a9ff7.png</t>
  </si>
  <si>
    <t>Dishwasher
(Claude 3.5 Sonnet)</t>
  </si>
  <si>
    <t>Spa manager
(GPT 4o)</t>
  </si>
  <si>
    <t>Spa_Manager_hybrid_c0b8e0fb328a0478276e06bf3fbb2671236a9ff7.png</t>
  </si>
  <si>
    <t>Spa manager
(Claude 3.5 Sonnet)</t>
  </si>
  <si>
    <t>Digital chess clock
(GPT 4o)</t>
  </si>
  <si>
    <t>Chess_Clock_hybrid_c0b8e0fb328a0478276e06bf3fbb2671236a9ff7.png</t>
  </si>
  <si>
    <t>Digital chess clock
(Claude 3.5 Sonnet)</t>
  </si>
  <si>
    <t>Thermomix
(GPT 4o)</t>
  </si>
  <si>
    <t>Thermomix_hybrid_c0b8e0fb328a0478276e06bf3fbb2671236a9ff7.png</t>
  </si>
  <si>
    <t>Thermomix
(Claude 3.5 Sonnet)</t>
  </si>
  <si>
    <t>SSC7
(GPT 4o)</t>
  </si>
  <si>
    <t>SSC7_hybrid_c0b8e0fb328a0478276e06bf3fbb2671236a9ff7.png</t>
  </si>
  <si>
    <t>SSC7
(Claude 3.5 Sonnet)</t>
  </si>
  <si>
    <t>Printer
(GPT 4o)</t>
  </si>
  <si>
    <t>Printer_hybrid_c0b8e0fb328a0478276e06bf3fbb2671236a9ff7.png</t>
  </si>
  <si>
    <t>Printer
(Claude 3.5 Sonnet)</t>
  </si>
  <si>
    <t>Automatic Bread Maker
(GPT 4o)</t>
  </si>
  <si>
    <t>Automatic_Bread_Maker_hybrid_c0b8e0fb328a0478276e06bf3fbb2671236a9ff7.png</t>
  </si>
  <si>
    <t>Automatic Bread Maker
(Claude 3.5 Sonnet)</t>
  </si>
  <si>
    <t>WUMPLE (GPT 4o)</t>
  </si>
  <si>
    <t>Wumple_hybrid_c0b8e0fb328a0478276e06bf3fbb2671236a9ff7.png</t>
  </si>
  <si>
    <t>WUMPLE (Claude 3.5 Sonnet)</t>
  </si>
  <si>
    <t>Averages</t>
  </si>
  <si>
    <t>SMF Method</t>
  </si>
  <si>
    <t>F1-score</t>
  </si>
  <si>
    <t>Single Prompt (GPT 4o)</t>
  </si>
  <si>
    <t>Single Prompt (Claude 3.5 Sonnet)</t>
  </si>
  <si>
    <t>Structure-Driven (GPT 4o)</t>
  </si>
  <si>
    <t>Structure-Driven (Claude 3.5 Sonnet)</t>
  </si>
  <si>
    <t>Event-Driven (GPT 4o)</t>
  </si>
  <si>
    <t>Event-Driven (Claude 3.5 Sonnet)</t>
  </si>
  <si>
    <t>Hybrid (GPT 4o)</t>
  </si>
  <si>
    <t>Hybrid (Claude 3.5 Sonnet)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</si>
</sst>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2" xfId="0" applyFont="1" applyFill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3" borderId="0" xfId="0" applyFont="1" applyFill="1"/>
    <xf numFmtId="0" fontId="1" fillId="0" borderId="0" xfId="0" applyFont="1" applyAlignment="1">
      <alignment horizontal="right"/>
    </xf>
    <xf numFmtId="0" fontId="1" fillId="3" borderId="4" xfId="0" applyFont="1" applyFill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/>
    <xf numFmtId="0" fontId="3" fillId="0" borderId="0" xfId="0" applyFont="1"/>
    <xf numFmtId="0" fontId="1" fillId="2" borderId="6" xfId="0" applyFont="1" applyFill="1" applyBorder="1"/>
    <xf numFmtId="0" fontId="1" fillId="3" borderId="6" xfId="0" applyFont="1" applyFill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1" fillId="0" borderId="2" xfId="0" applyFont="1" applyBorder="1"/>
    <xf numFmtId="0" fontId="0" fillId="0" borderId="0" xfId="0"/>
    <xf numFmtId="0" fontId="1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3" fillId="0" borderId="0" xfId="0" applyFont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3:S68"/>
  <sheetViews>
    <sheetView tabSelected="1" topLeftCell="A28" workbookViewId="0"/>
  </sheetViews>
  <sheetFormatPr defaultColWidth="12.6640625" defaultRowHeight="15.75" customHeight="1" x14ac:dyDescent="0.25"/>
  <cols>
    <col min="1" max="1" width="24" customWidth="1"/>
    <col min="2" max="2" width="14.77734375" customWidth="1"/>
    <col min="3" max="5" width="3.77734375" customWidth="1"/>
    <col min="6" max="8" width="11.6640625" customWidth="1"/>
    <col min="9" max="9" width="70.77734375" customWidth="1"/>
    <col min="11" max="11" width="46.33203125" customWidth="1"/>
    <col min="12" max="12" width="14.77734375" customWidth="1"/>
    <col min="13" max="15" width="3.77734375" customWidth="1"/>
    <col min="16" max="18" width="11.6640625" customWidth="1"/>
    <col min="19" max="19" width="69.44140625" customWidth="1"/>
  </cols>
  <sheetData>
    <row r="3" spans="1:19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K3" s="1" t="s">
        <v>1</v>
      </c>
      <c r="L3" s="1"/>
      <c r="M3" s="1"/>
      <c r="N3" s="1"/>
      <c r="O3" s="1"/>
      <c r="P3" s="1"/>
      <c r="Q3" s="1"/>
      <c r="R3" s="1"/>
      <c r="S3" s="1"/>
    </row>
    <row r="4" spans="1:19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2" t="s">
        <v>2</v>
      </c>
      <c r="L4" s="2" t="s">
        <v>3</v>
      </c>
      <c r="M4" s="2" t="s">
        <v>4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</row>
    <row r="5" spans="1:19" x14ac:dyDescent="0.25">
      <c r="A5" s="17" t="s">
        <v>11</v>
      </c>
      <c r="B5" s="3" t="s">
        <v>12</v>
      </c>
      <c r="C5" s="4">
        <v>6</v>
      </c>
      <c r="D5" s="4">
        <v>3</v>
      </c>
      <c r="E5" s="4">
        <v>0</v>
      </c>
      <c r="F5" s="4">
        <f t="shared" ref="F5:F15" si="0">IFERROR(C5/(C5+E5), 0)</f>
        <v>1</v>
      </c>
      <c r="G5" s="4">
        <f t="shared" ref="G5:G15" si="1">IFERROR(C5/(C5+D5), 0)</f>
        <v>0.66666666666666663</v>
      </c>
      <c r="H5" s="4">
        <f t="shared" ref="H5:H15" si="2">IFERROR(2*(F5*G5)/(F5+G5), 0)</f>
        <v>0.8</v>
      </c>
      <c r="I5" s="20" t="s">
        <v>13</v>
      </c>
      <c r="K5" s="17" t="s">
        <v>11</v>
      </c>
      <c r="L5" s="3" t="s">
        <v>12</v>
      </c>
      <c r="M5" s="4">
        <v>7</v>
      </c>
      <c r="N5" s="4">
        <v>2</v>
      </c>
      <c r="O5" s="4">
        <v>2</v>
      </c>
      <c r="P5" s="4">
        <f t="shared" ref="P5:P15" si="3">IFERROR(M5/(M5+O5), 0)</f>
        <v>0.77777777777777779</v>
      </c>
      <c r="Q5" s="4">
        <f t="shared" ref="Q5:Q15" si="4">IFERROR(M5/(M5+N5), 0)</f>
        <v>0.77777777777777779</v>
      </c>
      <c r="R5" s="4">
        <f t="shared" ref="R5:R15" si="5">IFERROR(2*(P5*Q5)/(P5+Q5), 0)</f>
        <v>0.77777777777777779</v>
      </c>
      <c r="S5" s="20" t="s">
        <v>14</v>
      </c>
    </row>
    <row r="6" spans="1:19" x14ac:dyDescent="0.25">
      <c r="A6" s="18"/>
      <c r="B6" s="6" t="s">
        <v>15</v>
      </c>
      <c r="C6" s="7">
        <v>8</v>
      </c>
      <c r="D6" s="7">
        <v>9</v>
      </c>
      <c r="E6" s="7">
        <v>0</v>
      </c>
      <c r="F6" s="4">
        <f t="shared" si="0"/>
        <v>1</v>
      </c>
      <c r="G6" s="4">
        <f t="shared" si="1"/>
        <v>0.47058823529411764</v>
      </c>
      <c r="H6" s="4">
        <f t="shared" si="2"/>
        <v>0.6399999999999999</v>
      </c>
      <c r="I6" s="21"/>
      <c r="K6" s="18"/>
      <c r="L6" s="6" t="s">
        <v>15</v>
      </c>
      <c r="M6" s="7">
        <v>11</v>
      </c>
      <c r="N6" s="7">
        <v>6</v>
      </c>
      <c r="O6" s="7">
        <v>4</v>
      </c>
      <c r="P6" s="4">
        <f t="shared" si="3"/>
        <v>0.73333333333333328</v>
      </c>
      <c r="Q6" s="4">
        <f t="shared" si="4"/>
        <v>0.6470588235294118</v>
      </c>
      <c r="R6" s="4">
        <f t="shared" si="5"/>
        <v>0.6875</v>
      </c>
      <c r="S6" s="21"/>
    </row>
    <row r="7" spans="1:19" x14ac:dyDescent="0.25">
      <c r="A7" s="18"/>
      <c r="B7" s="6" t="s">
        <v>16</v>
      </c>
      <c r="C7" s="7">
        <v>1</v>
      </c>
      <c r="D7" s="7">
        <v>2</v>
      </c>
      <c r="E7" s="7">
        <v>2</v>
      </c>
      <c r="F7" s="4">
        <f t="shared" si="0"/>
        <v>0.33333333333333331</v>
      </c>
      <c r="G7" s="4">
        <f t="shared" si="1"/>
        <v>0.33333333333333331</v>
      </c>
      <c r="H7" s="4">
        <f t="shared" si="2"/>
        <v>0.33333333333333331</v>
      </c>
      <c r="I7" s="21"/>
      <c r="K7" s="18"/>
      <c r="L7" s="6" t="s">
        <v>16</v>
      </c>
      <c r="M7" s="7">
        <v>2</v>
      </c>
      <c r="N7" s="7">
        <v>2</v>
      </c>
      <c r="O7" s="7">
        <v>1</v>
      </c>
      <c r="P7" s="4">
        <f t="shared" si="3"/>
        <v>0.66666666666666663</v>
      </c>
      <c r="Q7" s="4">
        <f t="shared" si="4"/>
        <v>0.5</v>
      </c>
      <c r="R7" s="4">
        <f t="shared" si="5"/>
        <v>0.57142857142857151</v>
      </c>
      <c r="S7" s="21"/>
    </row>
    <row r="8" spans="1:19" x14ac:dyDescent="0.25">
      <c r="A8" s="18"/>
      <c r="B8" s="6" t="s">
        <v>17</v>
      </c>
      <c r="C8" s="7">
        <v>0</v>
      </c>
      <c r="D8" s="7">
        <v>7</v>
      </c>
      <c r="E8" s="7">
        <v>0</v>
      </c>
      <c r="F8" s="4">
        <f t="shared" si="0"/>
        <v>0</v>
      </c>
      <c r="G8" s="4">
        <f t="shared" si="1"/>
        <v>0</v>
      </c>
      <c r="H8" s="4">
        <f t="shared" si="2"/>
        <v>0</v>
      </c>
      <c r="I8" s="21"/>
      <c r="K8" s="18"/>
      <c r="L8" s="6" t="s">
        <v>17</v>
      </c>
      <c r="M8" s="7">
        <v>0</v>
      </c>
      <c r="N8" s="7">
        <v>7</v>
      </c>
      <c r="O8" s="7">
        <v>0</v>
      </c>
      <c r="P8" s="4">
        <f t="shared" si="3"/>
        <v>0</v>
      </c>
      <c r="Q8" s="4">
        <f t="shared" si="4"/>
        <v>0</v>
      </c>
      <c r="R8" s="4">
        <f t="shared" si="5"/>
        <v>0</v>
      </c>
      <c r="S8" s="21"/>
    </row>
    <row r="9" spans="1:19" x14ac:dyDescent="0.25">
      <c r="A9" s="18"/>
      <c r="B9" s="6" t="s">
        <v>18</v>
      </c>
      <c r="C9" s="7">
        <v>1</v>
      </c>
      <c r="D9" s="7">
        <v>1</v>
      </c>
      <c r="E9" s="7">
        <v>0</v>
      </c>
      <c r="F9" s="4">
        <f t="shared" si="0"/>
        <v>1</v>
      </c>
      <c r="G9" s="4">
        <f t="shared" si="1"/>
        <v>0.5</v>
      </c>
      <c r="H9" s="4">
        <f t="shared" si="2"/>
        <v>0.66666666666666663</v>
      </c>
      <c r="I9" s="21"/>
      <c r="K9" s="18"/>
      <c r="L9" s="6" t="s">
        <v>18</v>
      </c>
      <c r="M9" s="7">
        <v>2</v>
      </c>
      <c r="N9" s="7">
        <v>0</v>
      </c>
      <c r="O9" s="7">
        <v>1</v>
      </c>
      <c r="P9" s="4">
        <f t="shared" si="3"/>
        <v>0.66666666666666663</v>
      </c>
      <c r="Q9" s="4">
        <f t="shared" si="4"/>
        <v>1</v>
      </c>
      <c r="R9" s="4">
        <f t="shared" si="5"/>
        <v>0.8</v>
      </c>
      <c r="S9" s="21"/>
    </row>
    <row r="10" spans="1:19" x14ac:dyDescent="0.25">
      <c r="A10" s="18"/>
      <c r="B10" s="6" t="s">
        <v>19</v>
      </c>
      <c r="C10" s="7">
        <v>0</v>
      </c>
      <c r="D10" s="7">
        <v>2</v>
      </c>
      <c r="E10" s="7">
        <v>0</v>
      </c>
      <c r="F10" s="4">
        <f t="shared" si="0"/>
        <v>0</v>
      </c>
      <c r="G10" s="4">
        <f t="shared" si="1"/>
        <v>0</v>
      </c>
      <c r="H10" s="4">
        <f t="shared" si="2"/>
        <v>0</v>
      </c>
      <c r="I10" s="21"/>
      <c r="K10" s="18"/>
      <c r="L10" s="6" t="s">
        <v>19</v>
      </c>
      <c r="M10" s="7">
        <v>2</v>
      </c>
      <c r="N10" s="7">
        <v>0</v>
      </c>
      <c r="O10" s="7">
        <v>2</v>
      </c>
      <c r="P10" s="4">
        <f t="shared" si="3"/>
        <v>0.5</v>
      </c>
      <c r="Q10" s="4">
        <f t="shared" si="4"/>
        <v>1</v>
      </c>
      <c r="R10" s="4">
        <f t="shared" si="5"/>
        <v>0.66666666666666663</v>
      </c>
      <c r="S10" s="21"/>
    </row>
    <row r="11" spans="1:19" x14ac:dyDescent="0.25">
      <c r="A11" s="18"/>
      <c r="B11" s="8" t="s">
        <v>20</v>
      </c>
      <c r="C11" s="9">
        <v>0</v>
      </c>
      <c r="D11" s="9">
        <v>1</v>
      </c>
      <c r="E11" s="9">
        <v>0</v>
      </c>
      <c r="F11" s="4">
        <f t="shared" si="0"/>
        <v>0</v>
      </c>
      <c r="G11" s="4">
        <f t="shared" si="1"/>
        <v>0</v>
      </c>
      <c r="H11" s="4">
        <f t="shared" si="2"/>
        <v>0</v>
      </c>
      <c r="I11" s="21"/>
      <c r="K11" s="18"/>
      <c r="L11" s="8" t="s">
        <v>20</v>
      </c>
      <c r="M11" s="9">
        <v>0</v>
      </c>
      <c r="N11" s="9">
        <v>1</v>
      </c>
      <c r="O11" s="9">
        <v>0</v>
      </c>
      <c r="P11" s="4">
        <f t="shared" si="3"/>
        <v>0</v>
      </c>
      <c r="Q11" s="4">
        <f t="shared" si="4"/>
        <v>0</v>
      </c>
      <c r="R11" s="4">
        <f t="shared" si="5"/>
        <v>0</v>
      </c>
      <c r="S11" s="21"/>
    </row>
    <row r="12" spans="1:19" x14ac:dyDescent="0.25">
      <c r="A12" s="19"/>
      <c r="B12" s="6" t="s">
        <v>21</v>
      </c>
      <c r="C12" s="7">
        <f t="shared" ref="C12:E12" si="6">SUM(C5:C11)</f>
        <v>16</v>
      </c>
      <c r="D12" s="7">
        <f t="shared" si="6"/>
        <v>25</v>
      </c>
      <c r="E12" s="7">
        <f t="shared" si="6"/>
        <v>2</v>
      </c>
      <c r="F12" s="4">
        <f t="shared" si="0"/>
        <v>0.88888888888888884</v>
      </c>
      <c r="G12" s="4">
        <f t="shared" si="1"/>
        <v>0.3902439024390244</v>
      </c>
      <c r="H12" s="4">
        <f t="shared" si="2"/>
        <v>0.54237288135593231</v>
      </c>
      <c r="I12" s="21"/>
      <c r="K12" s="19"/>
      <c r="L12" s="6" t="s">
        <v>21</v>
      </c>
      <c r="M12" s="7">
        <f t="shared" ref="M12:O12" si="7">SUM(M5:M11)</f>
        <v>24</v>
      </c>
      <c r="N12" s="7">
        <f t="shared" si="7"/>
        <v>18</v>
      </c>
      <c r="O12" s="7">
        <f t="shared" si="7"/>
        <v>10</v>
      </c>
      <c r="P12" s="4">
        <f t="shared" si="3"/>
        <v>0.70588235294117652</v>
      </c>
      <c r="Q12" s="4">
        <f t="shared" si="4"/>
        <v>0.5714285714285714</v>
      </c>
      <c r="R12" s="4">
        <f t="shared" si="5"/>
        <v>0.63157894736842113</v>
      </c>
      <c r="S12" s="21"/>
    </row>
    <row r="13" spans="1:19" x14ac:dyDescent="0.25">
      <c r="A13" s="17" t="s">
        <v>22</v>
      </c>
      <c r="B13" s="3" t="s">
        <v>12</v>
      </c>
      <c r="C13" s="4">
        <v>9</v>
      </c>
      <c r="D13" s="4">
        <v>2</v>
      </c>
      <c r="E13" s="4">
        <v>2</v>
      </c>
      <c r="F13" s="4">
        <f t="shared" si="0"/>
        <v>0.81818181818181823</v>
      </c>
      <c r="G13" s="4">
        <f t="shared" si="1"/>
        <v>0.81818181818181823</v>
      </c>
      <c r="H13" s="4">
        <f t="shared" si="2"/>
        <v>0.81818181818181823</v>
      </c>
      <c r="I13" s="20" t="s">
        <v>23</v>
      </c>
      <c r="K13" s="17" t="s">
        <v>22</v>
      </c>
      <c r="L13" s="3" t="s">
        <v>12</v>
      </c>
      <c r="M13" s="4">
        <v>10</v>
      </c>
      <c r="N13" s="4">
        <v>1</v>
      </c>
      <c r="O13" s="4">
        <v>1</v>
      </c>
      <c r="P13" s="4">
        <f t="shared" si="3"/>
        <v>0.90909090909090906</v>
      </c>
      <c r="Q13" s="4">
        <f t="shared" si="4"/>
        <v>0.90909090909090906</v>
      </c>
      <c r="R13" s="4">
        <f t="shared" si="5"/>
        <v>0.90909090909090906</v>
      </c>
      <c r="S13" s="20" t="s">
        <v>24</v>
      </c>
    </row>
    <row r="14" spans="1:19" x14ac:dyDescent="0.25">
      <c r="A14" s="18"/>
      <c r="B14" s="6" t="s">
        <v>15</v>
      </c>
      <c r="C14" s="7">
        <v>8</v>
      </c>
      <c r="D14" s="7">
        <v>9</v>
      </c>
      <c r="E14" s="7">
        <v>9</v>
      </c>
      <c r="F14" s="4">
        <f t="shared" si="0"/>
        <v>0.47058823529411764</v>
      </c>
      <c r="G14" s="4">
        <f t="shared" si="1"/>
        <v>0.47058823529411764</v>
      </c>
      <c r="H14" s="4">
        <f t="shared" si="2"/>
        <v>0.47058823529411764</v>
      </c>
      <c r="I14" s="21"/>
      <c r="K14" s="18"/>
      <c r="L14" s="6" t="s">
        <v>15</v>
      </c>
      <c r="M14" s="7">
        <v>11</v>
      </c>
      <c r="N14" s="7">
        <v>6</v>
      </c>
      <c r="O14" s="7">
        <v>4</v>
      </c>
      <c r="P14" s="4">
        <f t="shared" si="3"/>
        <v>0.73333333333333328</v>
      </c>
      <c r="Q14" s="4">
        <f t="shared" si="4"/>
        <v>0.6470588235294118</v>
      </c>
      <c r="R14" s="4">
        <f t="shared" si="5"/>
        <v>0.6875</v>
      </c>
      <c r="S14" s="21"/>
    </row>
    <row r="15" spans="1:19" x14ac:dyDescent="0.25">
      <c r="A15" s="18"/>
      <c r="B15" s="6" t="s">
        <v>16</v>
      </c>
      <c r="C15" s="7">
        <v>0</v>
      </c>
      <c r="D15" s="7">
        <v>4</v>
      </c>
      <c r="E15" s="7">
        <v>4</v>
      </c>
      <c r="F15" s="4">
        <f t="shared" si="0"/>
        <v>0</v>
      </c>
      <c r="G15" s="4">
        <f t="shared" si="1"/>
        <v>0</v>
      </c>
      <c r="H15" s="4">
        <f t="shared" si="2"/>
        <v>0</v>
      </c>
      <c r="I15" s="21"/>
      <c r="K15" s="18"/>
      <c r="L15" s="6" t="s">
        <v>16</v>
      </c>
      <c r="M15" s="7">
        <v>3</v>
      </c>
      <c r="N15" s="7">
        <v>1</v>
      </c>
      <c r="O15" s="7">
        <v>2</v>
      </c>
      <c r="P15" s="4">
        <f t="shared" si="3"/>
        <v>0.6</v>
      </c>
      <c r="Q15" s="4">
        <f t="shared" si="4"/>
        <v>0.75</v>
      </c>
      <c r="R15" s="4">
        <f t="shared" si="5"/>
        <v>0.66666666666666652</v>
      </c>
      <c r="S15" s="21"/>
    </row>
    <row r="16" spans="1:19" x14ac:dyDescent="0.25">
      <c r="A16" s="18"/>
      <c r="B16" s="6" t="s">
        <v>17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21"/>
      <c r="K16" s="18"/>
      <c r="L16" s="6" t="s">
        <v>17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21"/>
    </row>
    <row r="17" spans="1:19" x14ac:dyDescent="0.25">
      <c r="A17" s="18"/>
      <c r="B17" s="6" t="s">
        <v>18</v>
      </c>
      <c r="C17" s="7">
        <v>2</v>
      </c>
      <c r="D17" s="7">
        <v>1</v>
      </c>
      <c r="E17" s="7">
        <v>0</v>
      </c>
      <c r="F17" s="4">
        <f t="shared" ref="F17:F33" si="8">IFERROR(C17/(C17+E17), 0)</f>
        <v>1</v>
      </c>
      <c r="G17" s="4">
        <f t="shared" ref="G17:G33" si="9">IFERROR(C17/(C17+D17), 0)</f>
        <v>0.66666666666666663</v>
      </c>
      <c r="H17" s="4">
        <f t="shared" ref="H17:H33" si="10">IFERROR(2*(F17*G17)/(F17+G17), 0)</f>
        <v>0.8</v>
      </c>
      <c r="I17" s="21"/>
      <c r="K17" s="18"/>
      <c r="L17" s="6" t="s">
        <v>18</v>
      </c>
      <c r="M17" s="7">
        <v>3</v>
      </c>
      <c r="N17" s="7">
        <v>0</v>
      </c>
      <c r="O17" s="7">
        <v>1</v>
      </c>
      <c r="P17" s="4">
        <f t="shared" ref="P17:P33" si="11">IFERROR(M17/(M17+O17), 0)</f>
        <v>0.75</v>
      </c>
      <c r="Q17" s="4">
        <f t="shared" ref="Q17:Q33" si="12">IFERROR(M17/(M17+N17), 0)</f>
        <v>1</v>
      </c>
      <c r="R17" s="4">
        <f t="shared" ref="R17:R33" si="13">IFERROR(2*(P17*Q17)/(P17+Q17), 0)</f>
        <v>0.8571428571428571</v>
      </c>
      <c r="S17" s="21"/>
    </row>
    <row r="18" spans="1:19" x14ac:dyDescent="0.25">
      <c r="A18" s="18"/>
      <c r="B18" s="6" t="s">
        <v>19</v>
      </c>
      <c r="C18" s="7">
        <v>2</v>
      </c>
      <c r="D18" s="7">
        <v>3</v>
      </c>
      <c r="E18" s="7">
        <v>0</v>
      </c>
      <c r="F18" s="4">
        <f t="shared" si="8"/>
        <v>1</v>
      </c>
      <c r="G18" s="4">
        <f t="shared" si="9"/>
        <v>0.4</v>
      </c>
      <c r="H18" s="4">
        <f t="shared" si="10"/>
        <v>0.57142857142857151</v>
      </c>
      <c r="I18" s="21"/>
      <c r="K18" s="18"/>
      <c r="L18" s="6" t="s">
        <v>19</v>
      </c>
      <c r="M18" s="7">
        <v>4</v>
      </c>
      <c r="N18" s="7">
        <v>1</v>
      </c>
      <c r="O18" s="7">
        <v>1</v>
      </c>
      <c r="P18" s="4">
        <f t="shared" si="11"/>
        <v>0.8</v>
      </c>
      <c r="Q18" s="4">
        <f t="shared" si="12"/>
        <v>0.8</v>
      </c>
      <c r="R18" s="4">
        <f t="shared" si="13"/>
        <v>0.80000000000000016</v>
      </c>
      <c r="S18" s="21"/>
    </row>
    <row r="19" spans="1:19" x14ac:dyDescent="0.25">
      <c r="A19" s="18"/>
      <c r="B19" s="8" t="s">
        <v>20</v>
      </c>
      <c r="C19" s="9">
        <v>1</v>
      </c>
      <c r="D19" s="9">
        <v>0</v>
      </c>
      <c r="E19" s="9">
        <v>0</v>
      </c>
      <c r="F19" s="4">
        <f t="shared" si="8"/>
        <v>1</v>
      </c>
      <c r="G19" s="4">
        <f t="shared" si="9"/>
        <v>1</v>
      </c>
      <c r="H19" s="4">
        <f t="shared" si="10"/>
        <v>1</v>
      </c>
      <c r="I19" s="21"/>
      <c r="K19" s="18"/>
      <c r="L19" s="8" t="s">
        <v>20</v>
      </c>
      <c r="M19" s="9">
        <v>0</v>
      </c>
      <c r="N19" s="9">
        <v>1</v>
      </c>
      <c r="O19" s="9">
        <v>0</v>
      </c>
      <c r="P19" s="4">
        <f t="shared" si="11"/>
        <v>0</v>
      </c>
      <c r="Q19" s="4">
        <f t="shared" si="12"/>
        <v>0</v>
      </c>
      <c r="R19" s="4">
        <f t="shared" si="13"/>
        <v>0</v>
      </c>
      <c r="S19" s="21"/>
    </row>
    <row r="20" spans="1:19" x14ac:dyDescent="0.25">
      <c r="A20" s="19"/>
      <c r="B20" s="6" t="s">
        <v>21</v>
      </c>
      <c r="C20" s="7">
        <f t="shared" ref="C20:E20" si="14">SUM(C13:C19)</f>
        <v>22</v>
      </c>
      <c r="D20" s="7">
        <f t="shared" si="14"/>
        <v>19</v>
      </c>
      <c r="E20" s="7">
        <f t="shared" si="14"/>
        <v>15</v>
      </c>
      <c r="F20" s="4">
        <f t="shared" si="8"/>
        <v>0.59459459459459463</v>
      </c>
      <c r="G20" s="4">
        <f t="shared" si="9"/>
        <v>0.53658536585365857</v>
      </c>
      <c r="H20" s="4">
        <f t="shared" si="10"/>
        <v>0.5641025641025641</v>
      </c>
      <c r="I20" s="21"/>
      <c r="K20" s="19"/>
      <c r="L20" s="6" t="s">
        <v>21</v>
      </c>
      <c r="M20" s="7">
        <f t="shared" ref="M20:O20" si="15">SUM(M13:M19)</f>
        <v>31</v>
      </c>
      <c r="N20" s="7">
        <f t="shared" si="15"/>
        <v>10</v>
      </c>
      <c r="O20" s="7">
        <f t="shared" si="15"/>
        <v>9</v>
      </c>
      <c r="P20" s="4">
        <f t="shared" si="11"/>
        <v>0.77500000000000002</v>
      </c>
      <c r="Q20" s="4">
        <f t="shared" si="12"/>
        <v>0.75609756097560976</v>
      </c>
      <c r="R20" s="4">
        <f t="shared" si="13"/>
        <v>0.76543209876543217</v>
      </c>
      <c r="S20" s="21"/>
    </row>
    <row r="21" spans="1:19" x14ac:dyDescent="0.25">
      <c r="A21" s="17" t="s">
        <v>26</v>
      </c>
      <c r="B21" s="3" t="s">
        <v>12</v>
      </c>
      <c r="C21" s="4">
        <v>5</v>
      </c>
      <c r="D21" s="4">
        <v>4</v>
      </c>
      <c r="E21" s="4">
        <v>2</v>
      </c>
      <c r="F21" s="4">
        <f t="shared" si="8"/>
        <v>0.7142857142857143</v>
      </c>
      <c r="G21" s="4">
        <f t="shared" si="9"/>
        <v>0.55555555555555558</v>
      </c>
      <c r="H21" s="4">
        <f t="shared" si="10"/>
        <v>0.62500000000000011</v>
      </c>
      <c r="I21" s="20" t="s">
        <v>27</v>
      </c>
      <c r="K21" s="17" t="s">
        <v>26</v>
      </c>
      <c r="L21" s="3" t="s">
        <v>12</v>
      </c>
      <c r="M21" s="4">
        <v>6</v>
      </c>
      <c r="N21" s="4">
        <v>3</v>
      </c>
      <c r="O21" s="4">
        <v>1</v>
      </c>
      <c r="P21" s="4">
        <f t="shared" si="11"/>
        <v>0.8571428571428571</v>
      </c>
      <c r="Q21" s="4">
        <f t="shared" si="12"/>
        <v>0.66666666666666663</v>
      </c>
      <c r="R21" s="4">
        <f t="shared" si="13"/>
        <v>0.75</v>
      </c>
      <c r="S21" s="20" t="s">
        <v>28</v>
      </c>
    </row>
    <row r="22" spans="1:19" x14ac:dyDescent="0.25">
      <c r="A22" s="18"/>
      <c r="B22" s="6" t="s">
        <v>15</v>
      </c>
      <c r="C22" s="7">
        <v>8</v>
      </c>
      <c r="D22" s="7">
        <v>8</v>
      </c>
      <c r="E22" s="7">
        <v>3</v>
      </c>
      <c r="F22" s="4">
        <f t="shared" si="8"/>
        <v>0.72727272727272729</v>
      </c>
      <c r="G22" s="4">
        <f t="shared" si="9"/>
        <v>0.5</v>
      </c>
      <c r="H22" s="4">
        <f t="shared" si="10"/>
        <v>0.59259259259259256</v>
      </c>
      <c r="I22" s="21"/>
      <c r="K22" s="18"/>
      <c r="L22" s="6" t="s">
        <v>15</v>
      </c>
      <c r="M22" s="7">
        <v>10</v>
      </c>
      <c r="N22" s="7">
        <v>6</v>
      </c>
      <c r="O22" s="7">
        <v>6</v>
      </c>
      <c r="P22" s="4">
        <f t="shared" si="11"/>
        <v>0.625</v>
      </c>
      <c r="Q22" s="4">
        <f t="shared" si="12"/>
        <v>0.625</v>
      </c>
      <c r="R22" s="4">
        <f t="shared" si="13"/>
        <v>0.625</v>
      </c>
      <c r="S22" s="21"/>
    </row>
    <row r="23" spans="1:19" x14ac:dyDescent="0.25">
      <c r="A23" s="18"/>
      <c r="B23" s="6" t="s">
        <v>16</v>
      </c>
      <c r="C23" s="7">
        <v>0</v>
      </c>
      <c r="D23" s="7">
        <v>4</v>
      </c>
      <c r="E23" s="7">
        <v>0</v>
      </c>
      <c r="F23" s="4">
        <f t="shared" si="8"/>
        <v>0</v>
      </c>
      <c r="G23" s="4">
        <f t="shared" si="9"/>
        <v>0</v>
      </c>
      <c r="H23" s="4">
        <f t="shared" si="10"/>
        <v>0</v>
      </c>
      <c r="I23" s="21"/>
      <c r="K23" s="18"/>
      <c r="L23" s="6" t="s">
        <v>16</v>
      </c>
      <c r="M23" s="7">
        <v>2</v>
      </c>
      <c r="N23" s="7">
        <v>2</v>
      </c>
      <c r="O23" s="7">
        <v>2</v>
      </c>
      <c r="P23" s="4">
        <f t="shared" si="11"/>
        <v>0.5</v>
      </c>
      <c r="Q23" s="4">
        <f t="shared" si="12"/>
        <v>0.5</v>
      </c>
      <c r="R23" s="4">
        <f t="shared" si="13"/>
        <v>0.5</v>
      </c>
      <c r="S23" s="21"/>
    </row>
    <row r="24" spans="1:19" x14ac:dyDescent="0.25">
      <c r="A24" s="18"/>
      <c r="B24" s="6" t="s">
        <v>17</v>
      </c>
      <c r="C24" s="7">
        <v>0</v>
      </c>
      <c r="D24" s="7">
        <v>6</v>
      </c>
      <c r="E24" s="7">
        <v>0</v>
      </c>
      <c r="F24" s="4">
        <f t="shared" si="8"/>
        <v>0</v>
      </c>
      <c r="G24" s="4">
        <f t="shared" si="9"/>
        <v>0</v>
      </c>
      <c r="H24" s="4">
        <f t="shared" si="10"/>
        <v>0</v>
      </c>
      <c r="I24" s="21"/>
      <c r="K24" s="18"/>
      <c r="L24" s="6" t="s">
        <v>17</v>
      </c>
      <c r="M24" s="7">
        <v>0</v>
      </c>
      <c r="N24" s="7">
        <v>6</v>
      </c>
      <c r="O24" s="7">
        <v>0</v>
      </c>
      <c r="P24" s="4">
        <f t="shared" si="11"/>
        <v>0</v>
      </c>
      <c r="Q24" s="4">
        <f t="shared" si="12"/>
        <v>0</v>
      </c>
      <c r="R24" s="4">
        <f t="shared" si="13"/>
        <v>0</v>
      </c>
      <c r="S24" s="21"/>
    </row>
    <row r="25" spans="1:19" x14ac:dyDescent="0.25">
      <c r="A25" s="18"/>
      <c r="B25" s="6" t="s">
        <v>18</v>
      </c>
      <c r="C25" s="7">
        <v>2</v>
      </c>
      <c r="D25" s="7">
        <v>1</v>
      </c>
      <c r="E25" s="7">
        <v>0</v>
      </c>
      <c r="F25" s="4">
        <f t="shared" si="8"/>
        <v>1</v>
      </c>
      <c r="G25" s="4">
        <f t="shared" si="9"/>
        <v>0.66666666666666663</v>
      </c>
      <c r="H25" s="4">
        <f t="shared" si="10"/>
        <v>0.8</v>
      </c>
      <c r="I25" s="21"/>
      <c r="K25" s="18"/>
      <c r="L25" s="6" t="s">
        <v>18</v>
      </c>
      <c r="M25" s="7">
        <v>2</v>
      </c>
      <c r="N25" s="7">
        <v>1</v>
      </c>
      <c r="O25" s="7">
        <v>0</v>
      </c>
      <c r="P25" s="4">
        <f t="shared" si="11"/>
        <v>1</v>
      </c>
      <c r="Q25" s="4">
        <f t="shared" si="12"/>
        <v>0.66666666666666663</v>
      </c>
      <c r="R25" s="4">
        <f t="shared" si="13"/>
        <v>0.8</v>
      </c>
      <c r="S25" s="21"/>
    </row>
    <row r="26" spans="1:19" x14ac:dyDescent="0.25">
      <c r="A26" s="18"/>
      <c r="B26" s="6" t="s">
        <v>19</v>
      </c>
      <c r="C26" s="7">
        <v>0</v>
      </c>
      <c r="D26" s="7">
        <v>2</v>
      </c>
      <c r="E26" s="7">
        <v>0</v>
      </c>
      <c r="F26" s="4">
        <f t="shared" si="8"/>
        <v>0</v>
      </c>
      <c r="G26" s="4">
        <f t="shared" si="9"/>
        <v>0</v>
      </c>
      <c r="H26" s="4">
        <f t="shared" si="10"/>
        <v>0</v>
      </c>
      <c r="I26" s="21"/>
      <c r="K26" s="18"/>
      <c r="L26" s="6" t="s">
        <v>19</v>
      </c>
      <c r="M26" s="7">
        <v>0</v>
      </c>
      <c r="N26" s="7">
        <v>2</v>
      </c>
      <c r="O26" s="7">
        <v>0</v>
      </c>
      <c r="P26" s="4">
        <f t="shared" si="11"/>
        <v>0</v>
      </c>
      <c r="Q26" s="4">
        <f t="shared" si="12"/>
        <v>0</v>
      </c>
      <c r="R26" s="4">
        <f t="shared" si="13"/>
        <v>0</v>
      </c>
      <c r="S26" s="21"/>
    </row>
    <row r="27" spans="1:19" x14ac:dyDescent="0.25">
      <c r="A27" s="18"/>
      <c r="B27" s="8" t="s">
        <v>20</v>
      </c>
      <c r="C27" s="9">
        <v>1</v>
      </c>
      <c r="D27" s="9">
        <v>0</v>
      </c>
      <c r="E27" s="9">
        <v>0</v>
      </c>
      <c r="F27" s="4">
        <f t="shared" si="8"/>
        <v>1</v>
      </c>
      <c r="G27" s="4">
        <f t="shared" si="9"/>
        <v>1</v>
      </c>
      <c r="H27" s="4">
        <f t="shared" si="10"/>
        <v>1</v>
      </c>
      <c r="I27" s="21"/>
      <c r="K27" s="18"/>
      <c r="L27" s="8" t="s">
        <v>20</v>
      </c>
      <c r="M27" s="9">
        <v>1</v>
      </c>
      <c r="N27" s="9">
        <v>0</v>
      </c>
      <c r="O27" s="9">
        <v>0</v>
      </c>
      <c r="P27" s="4">
        <f t="shared" si="11"/>
        <v>1</v>
      </c>
      <c r="Q27" s="4">
        <f t="shared" si="12"/>
        <v>1</v>
      </c>
      <c r="R27" s="4">
        <f t="shared" si="13"/>
        <v>1</v>
      </c>
      <c r="S27" s="21"/>
    </row>
    <row r="28" spans="1:19" x14ac:dyDescent="0.25">
      <c r="A28" s="19"/>
      <c r="B28" s="6" t="s">
        <v>21</v>
      </c>
      <c r="C28" s="7">
        <f t="shared" ref="C28:E28" si="16">SUM(C21:C27)</f>
        <v>16</v>
      </c>
      <c r="D28" s="7">
        <f t="shared" si="16"/>
        <v>25</v>
      </c>
      <c r="E28" s="7">
        <f t="shared" si="16"/>
        <v>5</v>
      </c>
      <c r="F28" s="4">
        <f t="shared" si="8"/>
        <v>0.76190476190476186</v>
      </c>
      <c r="G28" s="4">
        <f t="shared" si="9"/>
        <v>0.3902439024390244</v>
      </c>
      <c r="H28" s="4">
        <f t="shared" si="10"/>
        <v>0.51612903225806461</v>
      </c>
      <c r="I28" s="21"/>
      <c r="K28" s="19"/>
      <c r="L28" s="6" t="s">
        <v>21</v>
      </c>
      <c r="M28" s="7">
        <f t="shared" ref="M28:O28" si="17">SUM(M21:M27)</f>
        <v>21</v>
      </c>
      <c r="N28" s="7">
        <f t="shared" si="17"/>
        <v>20</v>
      </c>
      <c r="O28" s="7">
        <f t="shared" si="17"/>
        <v>9</v>
      </c>
      <c r="P28" s="4">
        <f t="shared" si="11"/>
        <v>0.7</v>
      </c>
      <c r="Q28" s="4">
        <f t="shared" si="12"/>
        <v>0.51219512195121952</v>
      </c>
      <c r="R28" s="4">
        <f t="shared" si="13"/>
        <v>0.59154929577464788</v>
      </c>
      <c r="S28" s="21"/>
    </row>
    <row r="29" spans="1:19" x14ac:dyDescent="0.25">
      <c r="A29" s="17" t="s">
        <v>29</v>
      </c>
      <c r="B29" s="3" t="s">
        <v>12</v>
      </c>
      <c r="C29" s="4">
        <v>7</v>
      </c>
      <c r="D29" s="4">
        <v>2</v>
      </c>
      <c r="E29" s="4">
        <v>0</v>
      </c>
      <c r="F29" s="4">
        <f t="shared" si="8"/>
        <v>1</v>
      </c>
      <c r="G29" s="4">
        <f t="shared" si="9"/>
        <v>0.77777777777777779</v>
      </c>
      <c r="H29" s="4">
        <f t="shared" si="10"/>
        <v>0.87500000000000011</v>
      </c>
      <c r="I29" s="20" t="s">
        <v>30</v>
      </c>
      <c r="K29" s="17" t="s">
        <v>29</v>
      </c>
      <c r="L29" s="3" t="s">
        <v>12</v>
      </c>
      <c r="M29" s="4">
        <v>8</v>
      </c>
      <c r="N29" s="4">
        <v>1</v>
      </c>
      <c r="O29" s="4">
        <v>0</v>
      </c>
      <c r="P29" s="4">
        <f t="shared" si="11"/>
        <v>1</v>
      </c>
      <c r="Q29" s="4">
        <f t="shared" si="12"/>
        <v>0.88888888888888884</v>
      </c>
      <c r="R29" s="4">
        <f t="shared" si="13"/>
        <v>0.94117647058823528</v>
      </c>
      <c r="S29" s="20" t="s">
        <v>31</v>
      </c>
    </row>
    <row r="30" spans="1:19" x14ac:dyDescent="0.25">
      <c r="A30" s="18"/>
      <c r="B30" s="6" t="s">
        <v>15</v>
      </c>
      <c r="C30" s="7">
        <v>9</v>
      </c>
      <c r="D30" s="7">
        <v>7</v>
      </c>
      <c r="E30" s="7">
        <v>2</v>
      </c>
      <c r="F30" s="4">
        <f t="shared" si="8"/>
        <v>0.81818181818181823</v>
      </c>
      <c r="G30" s="4">
        <f t="shared" si="9"/>
        <v>0.5625</v>
      </c>
      <c r="H30" s="4">
        <f t="shared" si="10"/>
        <v>0.66666666666666663</v>
      </c>
      <c r="I30" s="21"/>
      <c r="K30" s="18"/>
      <c r="L30" s="6" t="s">
        <v>15</v>
      </c>
      <c r="M30" s="7">
        <v>11</v>
      </c>
      <c r="N30" s="7">
        <v>6</v>
      </c>
      <c r="O30" s="7">
        <v>1</v>
      </c>
      <c r="P30" s="4">
        <f t="shared" si="11"/>
        <v>0.91666666666666663</v>
      </c>
      <c r="Q30" s="4">
        <f t="shared" si="12"/>
        <v>0.6470588235294118</v>
      </c>
      <c r="R30" s="4">
        <f t="shared" si="13"/>
        <v>0.75862068965517238</v>
      </c>
      <c r="S30" s="21"/>
    </row>
    <row r="31" spans="1:19" x14ac:dyDescent="0.25">
      <c r="A31" s="18"/>
      <c r="B31" s="6" t="s">
        <v>16</v>
      </c>
      <c r="C31" s="7">
        <v>1</v>
      </c>
      <c r="D31" s="7">
        <v>6</v>
      </c>
      <c r="E31" s="7">
        <v>1</v>
      </c>
      <c r="F31" s="4">
        <f t="shared" si="8"/>
        <v>0.5</v>
      </c>
      <c r="G31" s="4">
        <f t="shared" si="9"/>
        <v>0.14285714285714285</v>
      </c>
      <c r="H31" s="4">
        <f t="shared" si="10"/>
        <v>0.22222222222222224</v>
      </c>
      <c r="I31" s="21"/>
      <c r="K31" s="18"/>
      <c r="L31" s="6" t="s">
        <v>16</v>
      </c>
      <c r="M31" s="7">
        <v>3</v>
      </c>
      <c r="N31" s="7">
        <v>4</v>
      </c>
      <c r="O31" s="7">
        <v>2</v>
      </c>
      <c r="P31" s="4">
        <f t="shared" si="11"/>
        <v>0.6</v>
      </c>
      <c r="Q31" s="4">
        <f t="shared" si="12"/>
        <v>0.42857142857142855</v>
      </c>
      <c r="R31" s="4">
        <f t="shared" si="13"/>
        <v>0.5</v>
      </c>
      <c r="S31" s="21"/>
    </row>
    <row r="32" spans="1:19" x14ac:dyDescent="0.25">
      <c r="A32" s="18"/>
      <c r="B32" s="6" t="s">
        <v>17</v>
      </c>
      <c r="C32" s="7">
        <v>0</v>
      </c>
      <c r="D32" s="7">
        <v>7</v>
      </c>
      <c r="E32" s="7">
        <v>0</v>
      </c>
      <c r="F32" s="4">
        <f t="shared" si="8"/>
        <v>0</v>
      </c>
      <c r="G32" s="4">
        <f t="shared" si="9"/>
        <v>0</v>
      </c>
      <c r="H32" s="4">
        <f t="shared" si="10"/>
        <v>0</v>
      </c>
      <c r="I32" s="21"/>
      <c r="K32" s="18"/>
      <c r="L32" s="6" t="s">
        <v>17</v>
      </c>
      <c r="M32" s="7">
        <v>0</v>
      </c>
      <c r="N32" s="7">
        <v>6</v>
      </c>
      <c r="O32" s="7">
        <v>0</v>
      </c>
      <c r="P32" s="4">
        <f t="shared" si="11"/>
        <v>0</v>
      </c>
      <c r="Q32" s="4">
        <f t="shared" si="12"/>
        <v>0</v>
      </c>
      <c r="R32" s="4">
        <f t="shared" si="13"/>
        <v>0</v>
      </c>
      <c r="S32" s="21"/>
    </row>
    <row r="33" spans="1:19" x14ac:dyDescent="0.25">
      <c r="A33" s="18"/>
      <c r="B33" s="6" t="s">
        <v>18</v>
      </c>
      <c r="C33" s="7">
        <v>0</v>
      </c>
      <c r="D33" s="7">
        <v>1</v>
      </c>
      <c r="E33" s="7">
        <v>1</v>
      </c>
      <c r="F33" s="4">
        <f t="shared" si="8"/>
        <v>0</v>
      </c>
      <c r="G33" s="4">
        <f t="shared" si="9"/>
        <v>0</v>
      </c>
      <c r="H33" s="4">
        <f t="shared" si="10"/>
        <v>0</v>
      </c>
      <c r="I33" s="21"/>
      <c r="K33" s="18"/>
      <c r="L33" s="6" t="s">
        <v>18</v>
      </c>
      <c r="M33" s="7">
        <v>1</v>
      </c>
      <c r="N33" s="7">
        <v>0</v>
      </c>
      <c r="O33" s="7">
        <v>1</v>
      </c>
      <c r="P33" s="4">
        <f t="shared" si="11"/>
        <v>0.5</v>
      </c>
      <c r="Q33" s="4">
        <f t="shared" si="12"/>
        <v>1</v>
      </c>
      <c r="R33" s="4">
        <f t="shared" si="13"/>
        <v>0.66666666666666663</v>
      </c>
      <c r="S33" s="21"/>
    </row>
    <row r="34" spans="1:19" x14ac:dyDescent="0.25">
      <c r="A34" s="18"/>
      <c r="B34" s="6" t="s">
        <v>19</v>
      </c>
      <c r="C34" s="1" t="s">
        <v>25</v>
      </c>
      <c r="D34" s="1" t="s">
        <v>25</v>
      </c>
      <c r="E34" s="1" t="s">
        <v>25</v>
      </c>
      <c r="F34" s="1" t="s">
        <v>25</v>
      </c>
      <c r="G34" s="1" t="s">
        <v>25</v>
      </c>
      <c r="H34" s="1" t="s">
        <v>25</v>
      </c>
      <c r="I34" s="21"/>
      <c r="K34" s="18"/>
      <c r="L34" s="6" t="s">
        <v>19</v>
      </c>
      <c r="M34" s="1" t="s">
        <v>25</v>
      </c>
      <c r="N34" s="1" t="s">
        <v>25</v>
      </c>
      <c r="O34" s="1" t="s">
        <v>25</v>
      </c>
      <c r="P34" s="1" t="s">
        <v>25</v>
      </c>
      <c r="Q34" s="1" t="s">
        <v>25</v>
      </c>
      <c r="R34" s="1" t="s">
        <v>25</v>
      </c>
      <c r="S34" s="21"/>
    </row>
    <row r="35" spans="1:19" x14ac:dyDescent="0.25">
      <c r="A35" s="18"/>
      <c r="B35" s="8" t="s">
        <v>20</v>
      </c>
      <c r="C35" s="9">
        <v>0</v>
      </c>
      <c r="D35" s="9">
        <v>1</v>
      </c>
      <c r="E35" s="9">
        <v>0</v>
      </c>
      <c r="F35" s="4">
        <f t="shared" ref="F35:F41" si="18">IFERROR(C35/(C35+E35), 0)</f>
        <v>0</v>
      </c>
      <c r="G35" s="4">
        <f t="shared" ref="G35:G41" si="19">IFERROR(C35/(C35+D35), 0)</f>
        <v>0</v>
      </c>
      <c r="H35" s="4">
        <f t="shared" ref="H35:H41" si="20">IFERROR(2*(F35*G35)/(F35+G35), 0)</f>
        <v>0</v>
      </c>
      <c r="I35" s="21"/>
      <c r="K35" s="18"/>
      <c r="L35" s="8" t="s">
        <v>20</v>
      </c>
      <c r="M35" s="9">
        <v>0</v>
      </c>
      <c r="N35" s="9">
        <v>1</v>
      </c>
      <c r="O35" s="9">
        <v>0</v>
      </c>
      <c r="P35" s="4">
        <f t="shared" ref="P35:P41" si="21">IFERROR(M35/(M35+O35), 0)</f>
        <v>0</v>
      </c>
      <c r="Q35" s="4">
        <f t="shared" ref="Q35:Q41" si="22">IFERROR(M35/(M35+N35), 0)</f>
        <v>0</v>
      </c>
      <c r="R35" s="4">
        <f t="shared" ref="R35:R41" si="23">IFERROR(2*(P35*Q35)/(P35+Q35), 0)</f>
        <v>0</v>
      </c>
      <c r="S35" s="21"/>
    </row>
    <row r="36" spans="1:19" x14ac:dyDescent="0.25">
      <c r="A36" s="19"/>
      <c r="B36" s="6" t="s">
        <v>21</v>
      </c>
      <c r="C36" s="7">
        <f t="shared" ref="C36:E36" si="24">SUM(C29:C35)</f>
        <v>17</v>
      </c>
      <c r="D36" s="7">
        <f t="shared" si="24"/>
        <v>24</v>
      </c>
      <c r="E36" s="7">
        <f t="shared" si="24"/>
        <v>4</v>
      </c>
      <c r="F36" s="4">
        <f t="shared" si="18"/>
        <v>0.80952380952380953</v>
      </c>
      <c r="G36" s="4">
        <f t="shared" si="19"/>
        <v>0.41463414634146339</v>
      </c>
      <c r="H36" s="4">
        <f t="shared" si="20"/>
        <v>0.54838709677419351</v>
      </c>
      <c r="I36" s="21"/>
      <c r="K36" s="19"/>
      <c r="L36" s="6" t="s">
        <v>21</v>
      </c>
      <c r="M36" s="7">
        <f t="shared" ref="M36:O36" si="25">SUM(M29:M35)</f>
        <v>23</v>
      </c>
      <c r="N36" s="7">
        <f t="shared" si="25"/>
        <v>18</v>
      </c>
      <c r="O36" s="7">
        <f t="shared" si="25"/>
        <v>4</v>
      </c>
      <c r="P36" s="4">
        <f t="shared" si="21"/>
        <v>0.85185185185185186</v>
      </c>
      <c r="Q36" s="4">
        <f t="shared" si="22"/>
        <v>0.56097560975609762</v>
      </c>
      <c r="R36" s="4">
        <f t="shared" si="23"/>
        <v>0.67647058823529416</v>
      </c>
      <c r="S36" s="21"/>
    </row>
    <row r="37" spans="1:19" x14ac:dyDescent="0.25">
      <c r="A37" s="17" t="s">
        <v>32</v>
      </c>
      <c r="B37" s="3" t="s">
        <v>12</v>
      </c>
      <c r="C37" s="4">
        <v>6</v>
      </c>
      <c r="D37" s="4">
        <v>1</v>
      </c>
      <c r="E37" s="4">
        <v>2</v>
      </c>
      <c r="F37" s="4">
        <f t="shared" si="18"/>
        <v>0.75</v>
      </c>
      <c r="G37" s="4">
        <f t="shared" si="19"/>
        <v>0.8571428571428571</v>
      </c>
      <c r="H37" s="4">
        <f t="shared" si="20"/>
        <v>0.79999999999999993</v>
      </c>
      <c r="I37" s="20" t="s">
        <v>33</v>
      </c>
      <c r="K37" s="17" t="s">
        <v>32</v>
      </c>
      <c r="L37" s="3" t="s">
        <v>12</v>
      </c>
      <c r="M37" s="4">
        <v>7</v>
      </c>
      <c r="N37" s="4">
        <v>0</v>
      </c>
      <c r="O37" s="4">
        <v>0</v>
      </c>
      <c r="P37" s="4">
        <f t="shared" si="21"/>
        <v>1</v>
      </c>
      <c r="Q37" s="4">
        <f t="shared" si="22"/>
        <v>1</v>
      </c>
      <c r="R37" s="4">
        <f t="shared" si="23"/>
        <v>1</v>
      </c>
      <c r="S37" s="20" t="s">
        <v>34</v>
      </c>
    </row>
    <row r="38" spans="1:19" x14ac:dyDescent="0.25">
      <c r="A38" s="18"/>
      <c r="B38" s="6" t="s">
        <v>15</v>
      </c>
      <c r="C38" s="7">
        <v>12</v>
      </c>
      <c r="D38" s="7">
        <v>11</v>
      </c>
      <c r="E38" s="7">
        <v>9</v>
      </c>
      <c r="F38" s="4">
        <f t="shared" si="18"/>
        <v>0.5714285714285714</v>
      </c>
      <c r="G38" s="4">
        <f t="shared" si="19"/>
        <v>0.52173913043478259</v>
      </c>
      <c r="H38" s="4">
        <f t="shared" si="20"/>
        <v>0.54545454545454541</v>
      </c>
      <c r="I38" s="21"/>
      <c r="K38" s="18"/>
      <c r="L38" s="6" t="s">
        <v>15</v>
      </c>
      <c r="M38" s="7">
        <v>21</v>
      </c>
      <c r="N38" s="7">
        <v>3</v>
      </c>
      <c r="O38" s="7">
        <v>1</v>
      </c>
      <c r="P38" s="4">
        <f t="shared" si="21"/>
        <v>0.95454545454545459</v>
      </c>
      <c r="Q38" s="4">
        <f t="shared" si="22"/>
        <v>0.875</v>
      </c>
      <c r="R38" s="4">
        <f t="shared" si="23"/>
        <v>0.91304347826086951</v>
      </c>
      <c r="S38" s="21"/>
    </row>
    <row r="39" spans="1:19" x14ac:dyDescent="0.25">
      <c r="A39" s="18"/>
      <c r="B39" s="6" t="s">
        <v>16</v>
      </c>
      <c r="C39" s="7">
        <v>5</v>
      </c>
      <c r="D39" s="7">
        <v>6</v>
      </c>
      <c r="E39" s="7">
        <v>1</v>
      </c>
      <c r="F39" s="4">
        <f t="shared" si="18"/>
        <v>0.83333333333333337</v>
      </c>
      <c r="G39" s="4">
        <f t="shared" si="19"/>
        <v>0.45454545454545453</v>
      </c>
      <c r="H39" s="4">
        <f t="shared" si="20"/>
        <v>0.58823529411764708</v>
      </c>
      <c r="I39" s="21"/>
      <c r="K39" s="18"/>
      <c r="L39" s="6" t="s">
        <v>16</v>
      </c>
      <c r="M39" s="7">
        <v>7</v>
      </c>
      <c r="N39" s="7">
        <v>4</v>
      </c>
      <c r="O39" s="7">
        <v>0</v>
      </c>
      <c r="P39" s="4">
        <f t="shared" si="21"/>
        <v>1</v>
      </c>
      <c r="Q39" s="4">
        <f t="shared" si="22"/>
        <v>0.63636363636363635</v>
      </c>
      <c r="R39" s="4">
        <f t="shared" si="23"/>
        <v>0.77777777777777779</v>
      </c>
      <c r="S39" s="21"/>
    </row>
    <row r="40" spans="1:19" x14ac:dyDescent="0.25">
      <c r="A40" s="18"/>
      <c r="B40" s="6" t="s">
        <v>17</v>
      </c>
      <c r="C40" s="7">
        <v>0</v>
      </c>
      <c r="D40" s="7">
        <v>15</v>
      </c>
      <c r="E40" s="7">
        <v>0</v>
      </c>
      <c r="F40" s="4">
        <f t="shared" si="18"/>
        <v>0</v>
      </c>
      <c r="G40" s="4">
        <f t="shared" si="19"/>
        <v>0</v>
      </c>
      <c r="H40" s="4">
        <f t="shared" si="20"/>
        <v>0</v>
      </c>
      <c r="I40" s="21"/>
      <c r="K40" s="18"/>
      <c r="L40" s="6" t="s">
        <v>17</v>
      </c>
      <c r="M40" s="7">
        <v>6</v>
      </c>
      <c r="N40" s="7">
        <v>9</v>
      </c>
      <c r="O40" s="7">
        <v>0</v>
      </c>
      <c r="P40" s="4">
        <f t="shared" si="21"/>
        <v>1</v>
      </c>
      <c r="Q40" s="4">
        <f t="shared" si="22"/>
        <v>0.4</v>
      </c>
      <c r="R40" s="4">
        <f t="shared" si="23"/>
        <v>0.57142857142857151</v>
      </c>
      <c r="S40" s="21"/>
    </row>
    <row r="41" spans="1:19" x14ac:dyDescent="0.25">
      <c r="A41" s="18"/>
      <c r="B41" s="6" t="s">
        <v>18</v>
      </c>
      <c r="C41" s="7">
        <v>0</v>
      </c>
      <c r="D41" s="7">
        <v>1</v>
      </c>
      <c r="E41" s="7">
        <v>0</v>
      </c>
      <c r="F41" s="4">
        <f t="shared" si="18"/>
        <v>0</v>
      </c>
      <c r="G41" s="4">
        <f t="shared" si="19"/>
        <v>0</v>
      </c>
      <c r="H41" s="4">
        <f t="shared" si="20"/>
        <v>0</v>
      </c>
      <c r="I41" s="21"/>
      <c r="K41" s="18"/>
      <c r="L41" s="6" t="s">
        <v>18</v>
      </c>
      <c r="M41" s="7">
        <v>0</v>
      </c>
      <c r="N41" s="7">
        <v>1</v>
      </c>
      <c r="O41" s="7">
        <v>0</v>
      </c>
      <c r="P41" s="4">
        <f t="shared" si="21"/>
        <v>0</v>
      </c>
      <c r="Q41" s="4">
        <f t="shared" si="22"/>
        <v>0</v>
      </c>
      <c r="R41" s="4">
        <f t="shared" si="23"/>
        <v>0</v>
      </c>
      <c r="S41" s="21"/>
    </row>
    <row r="42" spans="1:19" x14ac:dyDescent="0.25">
      <c r="A42" s="18"/>
      <c r="B42" s="6" t="s">
        <v>19</v>
      </c>
      <c r="C42" s="1" t="s">
        <v>25</v>
      </c>
      <c r="D42" s="1" t="s">
        <v>25</v>
      </c>
      <c r="E42" s="1" t="s">
        <v>25</v>
      </c>
      <c r="F42" s="1" t="s">
        <v>25</v>
      </c>
      <c r="G42" s="1" t="s">
        <v>25</v>
      </c>
      <c r="H42" s="1" t="s">
        <v>25</v>
      </c>
      <c r="I42" s="21"/>
      <c r="K42" s="18"/>
      <c r="L42" s="6" t="s">
        <v>19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21"/>
    </row>
    <row r="43" spans="1:19" x14ac:dyDescent="0.25">
      <c r="A43" s="18"/>
      <c r="B43" s="8" t="s">
        <v>20</v>
      </c>
      <c r="C43" s="9">
        <v>0</v>
      </c>
      <c r="D43" s="9">
        <v>1</v>
      </c>
      <c r="E43" s="9">
        <v>0</v>
      </c>
      <c r="F43" s="4">
        <f t="shared" ref="F43:F49" si="26">IFERROR(C43/(C43+E43), 0)</f>
        <v>0</v>
      </c>
      <c r="G43" s="4">
        <f t="shared" ref="G43:G49" si="27">IFERROR(C43/(C43+D43), 0)</f>
        <v>0</v>
      </c>
      <c r="H43" s="4">
        <f t="shared" ref="H43:H49" si="28">IFERROR(2*(F43*G43)/(F43+G43), 0)</f>
        <v>0</v>
      </c>
      <c r="I43" s="21"/>
      <c r="K43" s="18"/>
      <c r="L43" s="8" t="s">
        <v>20</v>
      </c>
      <c r="M43" s="9">
        <v>0</v>
      </c>
      <c r="N43" s="9">
        <v>1</v>
      </c>
      <c r="O43" s="9">
        <v>0</v>
      </c>
      <c r="P43" s="4">
        <f t="shared" ref="P43:P49" si="29">IFERROR(M43/(M43+O43), 0)</f>
        <v>0</v>
      </c>
      <c r="Q43" s="4">
        <f t="shared" ref="Q43:Q49" si="30">IFERROR(M43/(M43+N43), 0)</f>
        <v>0</v>
      </c>
      <c r="R43" s="4">
        <f t="shared" ref="R43:R49" si="31">IFERROR(2*(P43*Q43)/(P43+Q43), 0)</f>
        <v>0</v>
      </c>
      <c r="S43" s="21"/>
    </row>
    <row r="44" spans="1:19" x14ac:dyDescent="0.25">
      <c r="A44" s="19"/>
      <c r="B44" s="6" t="s">
        <v>21</v>
      </c>
      <c r="C44" s="7">
        <f t="shared" ref="C44:E44" si="32">SUM(C37:C43)</f>
        <v>23</v>
      </c>
      <c r="D44" s="7">
        <f t="shared" si="32"/>
        <v>35</v>
      </c>
      <c r="E44" s="7">
        <f t="shared" si="32"/>
        <v>12</v>
      </c>
      <c r="F44" s="4">
        <f t="shared" si="26"/>
        <v>0.65714285714285714</v>
      </c>
      <c r="G44" s="4">
        <f t="shared" si="27"/>
        <v>0.39655172413793105</v>
      </c>
      <c r="H44" s="4">
        <f t="shared" si="28"/>
        <v>0.4946236559139785</v>
      </c>
      <c r="I44" s="21"/>
      <c r="K44" s="19"/>
      <c r="L44" s="6" t="s">
        <v>21</v>
      </c>
      <c r="M44" s="7">
        <f t="shared" ref="M44:O44" si="33">SUM(M37:M43)</f>
        <v>41</v>
      </c>
      <c r="N44" s="7">
        <f t="shared" si="33"/>
        <v>18</v>
      </c>
      <c r="O44" s="7">
        <f t="shared" si="33"/>
        <v>1</v>
      </c>
      <c r="P44" s="4">
        <f t="shared" si="29"/>
        <v>0.97619047619047616</v>
      </c>
      <c r="Q44" s="4">
        <f t="shared" si="30"/>
        <v>0.69491525423728817</v>
      </c>
      <c r="R44" s="4">
        <f t="shared" si="31"/>
        <v>0.81188118811881183</v>
      </c>
      <c r="S44" s="21"/>
    </row>
    <row r="45" spans="1:19" x14ac:dyDescent="0.25">
      <c r="A45" s="17" t="s">
        <v>35</v>
      </c>
      <c r="B45" s="3" t="s">
        <v>12</v>
      </c>
      <c r="C45" s="4">
        <v>5</v>
      </c>
      <c r="D45" s="4">
        <v>1</v>
      </c>
      <c r="E45" s="4">
        <v>1</v>
      </c>
      <c r="F45" s="4">
        <f t="shared" si="26"/>
        <v>0.83333333333333337</v>
      </c>
      <c r="G45" s="4">
        <f t="shared" si="27"/>
        <v>0.83333333333333337</v>
      </c>
      <c r="H45" s="4">
        <f t="shared" si="28"/>
        <v>0.83333333333333337</v>
      </c>
      <c r="I45" s="20" t="s">
        <v>36</v>
      </c>
      <c r="K45" s="17" t="s">
        <v>35</v>
      </c>
      <c r="L45" s="3" t="s">
        <v>12</v>
      </c>
      <c r="M45" s="4">
        <v>6</v>
      </c>
      <c r="N45" s="4">
        <v>0</v>
      </c>
      <c r="O45" s="4">
        <v>1</v>
      </c>
      <c r="P45" s="4">
        <f t="shared" si="29"/>
        <v>0.8571428571428571</v>
      </c>
      <c r="Q45" s="4">
        <f t="shared" si="30"/>
        <v>1</v>
      </c>
      <c r="R45" s="4">
        <f t="shared" si="31"/>
        <v>0.92307692307692302</v>
      </c>
      <c r="S45" s="20" t="s">
        <v>37</v>
      </c>
    </row>
    <row r="46" spans="1:19" x14ac:dyDescent="0.25">
      <c r="A46" s="18"/>
      <c r="B46" s="6" t="s">
        <v>15</v>
      </c>
      <c r="C46" s="7">
        <v>5</v>
      </c>
      <c r="D46" s="7">
        <v>10</v>
      </c>
      <c r="E46" s="7">
        <v>7</v>
      </c>
      <c r="F46" s="4">
        <f t="shared" si="26"/>
        <v>0.41666666666666669</v>
      </c>
      <c r="G46" s="4">
        <f t="shared" si="27"/>
        <v>0.33333333333333331</v>
      </c>
      <c r="H46" s="4">
        <f t="shared" si="28"/>
        <v>0.37037037037037041</v>
      </c>
      <c r="I46" s="21"/>
      <c r="K46" s="18"/>
      <c r="L46" s="6" t="s">
        <v>15</v>
      </c>
      <c r="M46" s="7">
        <v>12</v>
      </c>
      <c r="N46" s="7">
        <v>5</v>
      </c>
      <c r="O46" s="7">
        <v>3</v>
      </c>
      <c r="P46" s="4">
        <f t="shared" si="29"/>
        <v>0.8</v>
      </c>
      <c r="Q46" s="4">
        <f t="shared" si="30"/>
        <v>0.70588235294117652</v>
      </c>
      <c r="R46" s="4">
        <f t="shared" si="31"/>
        <v>0.75000000000000011</v>
      </c>
      <c r="S46" s="21"/>
    </row>
    <row r="47" spans="1:19" x14ac:dyDescent="0.25">
      <c r="A47" s="18"/>
      <c r="B47" s="6" t="s">
        <v>16</v>
      </c>
      <c r="C47" s="7">
        <v>0</v>
      </c>
      <c r="D47" s="7">
        <v>6</v>
      </c>
      <c r="E47" s="7">
        <v>2</v>
      </c>
      <c r="F47" s="4">
        <f t="shared" si="26"/>
        <v>0</v>
      </c>
      <c r="G47" s="4">
        <f t="shared" si="27"/>
        <v>0</v>
      </c>
      <c r="H47" s="4">
        <f t="shared" si="28"/>
        <v>0</v>
      </c>
      <c r="I47" s="21"/>
      <c r="K47" s="18"/>
      <c r="L47" s="6" t="s">
        <v>16</v>
      </c>
      <c r="M47" s="7">
        <v>3</v>
      </c>
      <c r="N47" s="7">
        <v>3</v>
      </c>
      <c r="O47" s="7">
        <v>4</v>
      </c>
      <c r="P47" s="4">
        <f t="shared" si="29"/>
        <v>0.42857142857142855</v>
      </c>
      <c r="Q47" s="4">
        <f t="shared" si="30"/>
        <v>0.5</v>
      </c>
      <c r="R47" s="4">
        <f t="shared" si="31"/>
        <v>0.46153846153846151</v>
      </c>
      <c r="S47" s="21"/>
    </row>
    <row r="48" spans="1:19" x14ac:dyDescent="0.25">
      <c r="A48" s="18"/>
      <c r="B48" s="6" t="s">
        <v>17</v>
      </c>
      <c r="C48" s="7">
        <v>0</v>
      </c>
      <c r="D48" s="7">
        <v>3</v>
      </c>
      <c r="E48" s="7">
        <v>2</v>
      </c>
      <c r="F48" s="4">
        <f t="shared" si="26"/>
        <v>0</v>
      </c>
      <c r="G48" s="4">
        <f t="shared" si="27"/>
        <v>0</v>
      </c>
      <c r="H48" s="4">
        <f t="shared" si="28"/>
        <v>0</v>
      </c>
      <c r="I48" s="21"/>
      <c r="K48" s="18"/>
      <c r="L48" s="6" t="s">
        <v>17</v>
      </c>
      <c r="M48" s="7">
        <v>0</v>
      </c>
      <c r="N48" s="7">
        <v>3</v>
      </c>
      <c r="O48" s="7">
        <v>0</v>
      </c>
      <c r="P48" s="4">
        <f t="shared" si="29"/>
        <v>0</v>
      </c>
      <c r="Q48" s="4">
        <f t="shared" si="30"/>
        <v>0</v>
      </c>
      <c r="R48" s="4">
        <f t="shared" si="31"/>
        <v>0</v>
      </c>
      <c r="S48" s="21"/>
    </row>
    <row r="49" spans="1:19" x14ac:dyDescent="0.25">
      <c r="A49" s="18"/>
      <c r="B49" s="6" t="s">
        <v>18</v>
      </c>
      <c r="C49" s="7">
        <v>2</v>
      </c>
      <c r="D49" s="7">
        <v>0</v>
      </c>
      <c r="E49" s="7">
        <v>0</v>
      </c>
      <c r="F49" s="4">
        <f t="shared" si="26"/>
        <v>1</v>
      </c>
      <c r="G49" s="4">
        <f t="shared" si="27"/>
        <v>1</v>
      </c>
      <c r="H49" s="4">
        <f t="shared" si="28"/>
        <v>1</v>
      </c>
      <c r="I49" s="21"/>
      <c r="K49" s="18"/>
      <c r="L49" s="6" t="s">
        <v>18</v>
      </c>
      <c r="M49" s="7">
        <v>2</v>
      </c>
      <c r="N49" s="7">
        <v>0</v>
      </c>
      <c r="O49" s="7">
        <v>2</v>
      </c>
      <c r="P49" s="4">
        <f t="shared" si="29"/>
        <v>0.5</v>
      </c>
      <c r="Q49" s="4">
        <f t="shared" si="30"/>
        <v>1</v>
      </c>
      <c r="R49" s="4">
        <f t="shared" si="31"/>
        <v>0.66666666666666663</v>
      </c>
      <c r="S49" s="21"/>
    </row>
    <row r="50" spans="1:19" x14ac:dyDescent="0.25">
      <c r="A50" s="18"/>
      <c r="B50" s="6" t="s">
        <v>19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25</v>
      </c>
      <c r="H50" s="1" t="s">
        <v>25</v>
      </c>
      <c r="I50" s="21"/>
      <c r="K50" s="18"/>
      <c r="L50" s="6" t="s">
        <v>19</v>
      </c>
      <c r="M50" s="1" t="s">
        <v>25</v>
      </c>
      <c r="N50" s="1" t="s">
        <v>25</v>
      </c>
      <c r="O50" s="1" t="s">
        <v>25</v>
      </c>
      <c r="P50" s="1" t="s">
        <v>25</v>
      </c>
      <c r="Q50" s="1" t="s">
        <v>25</v>
      </c>
      <c r="R50" s="1" t="s">
        <v>25</v>
      </c>
      <c r="S50" s="21"/>
    </row>
    <row r="51" spans="1:19" x14ac:dyDescent="0.25">
      <c r="A51" s="18"/>
      <c r="B51" s="8" t="s">
        <v>20</v>
      </c>
      <c r="C51" s="9">
        <v>1</v>
      </c>
      <c r="D51" s="9">
        <v>0</v>
      </c>
      <c r="E51" s="9">
        <v>0</v>
      </c>
      <c r="F51" s="4">
        <f t="shared" ref="F51:F57" si="34">IFERROR(C51/(C51+E51), 0)</f>
        <v>1</v>
      </c>
      <c r="G51" s="4">
        <f t="shared" ref="G51:G57" si="35">IFERROR(C51/(C51+D51), 0)</f>
        <v>1</v>
      </c>
      <c r="H51" s="4">
        <f t="shared" ref="H51:H57" si="36">IFERROR(2*(F51*G51)/(F51+G51), 0)</f>
        <v>1</v>
      </c>
      <c r="I51" s="21"/>
      <c r="K51" s="18"/>
      <c r="L51" s="8" t="s">
        <v>20</v>
      </c>
      <c r="M51" s="9">
        <v>1</v>
      </c>
      <c r="N51" s="9">
        <v>0</v>
      </c>
      <c r="O51" s="9">
        <v>0</v>
      </c>
      <c r="P51" s="4">
        <f t="shared" ref="P51:P57" si="37">IFERROR(M51/(M51+O51), 0)</f>
        <v>1</v>
      </c>
      <c r="Q51" s="4">
        <f t="shared" ref="Q51:Q57" si="38">IFERROR(M51/(M51+N51), 0)</f>
        <v>1</v>
      </c>
      <c r="R51" s="4">
        <f t="shared" ref="R51:R57" si="39">IFERROR(2*(P51*Q51)/(P51+Q51), 0)</f>
        <v>1</v>
      </c>
      <c r="S51" s="21"/>
    </row>
    <row r="52" spans="1:19" x14ac:dyDescent="0.25">
      <c r="A52" s="19"/>
      <c r="B52" s="6" t="s">
        <v>21</v>
      </c>
      <c r="C52" s="7">
        <f t="shared" ref="C52:E52" si="40">SUM(C45:C51)</f>
        <v>13</v>
      </c>
      <c r="D52" s="7">
        <f t="shared" si="40"/>
        <v>20</v>
      </c>
      <c r="E52" s="7">
        <f t="shared" si="40"/>
        <v>12</v>
      </c>
      <c r="F52" s="4">
        <f t="shared" si="34"/>
        <v>0.52</v>
      </c>
      <c r="G52" s="4">
        <f t="shared" si="35"/>
        <v>0.39393939393939392</v>
      </c>
      <c r="H52" s="4">
        <f t="shared" si="36"/>
        <v>0.44827586206896547</v>
      </c>
      <c r="I52" s="21"/>
      <c r="K52" s="19"/>
      <c r="L52" s="6" t="s">
        <v>21</v>
      </c>
      <c r="M52" s="7">
        <f t="shared" ref="M52:O52" si="41">SUM(M45:M51)</f>
        <v>24</v>
      </c>
      <c r="N52" s="7">
        <f t="shared" si="41"/>
        <v>11</v>
      </c>
      <c r="O52" s="7">
        <f t="shared" si="41"/>
        <v>10</v>
      </c>
      <c r="P52" s="4">
        <f t="shared" si="37"/>
        <v>0.70588235294117652</v>
      </c>
      <c r="Q52" s="4">
        <f t="shared" si="38"/>
        <v>0.68571428571428572</v>
      </c>
      <c r="R52" s="4">
        <f t="shared" si="39"/>
        <v>0.69565217391304357</v>
      </c>
      <c r="S52" s="21"/>
    </row>
    <row r="53" spans="1:19" x14ac:dyDescent="0.25">
      <c r="A53" s="17" t="s">
        <v>38</v>
      </c>
      <c r="B53" s="3" t="s">
        <v>12</v>
      </c>
      <c r="C53" s="4">
        <v>7</v>
      </c>
      <c r="D53" s="4">
        <v>2</v>
      </c>
      <c r="E53" s="4">
        <v>0</v>
      </c>
      <c r="F53" s="4">
        <f t="shared" si="34"/>
        <v>1</v>
      </c>
      <c r="G53" s="4">
        <f t="shared" si="35"/>
        <v>0.77777777777777779</v>
      </c>
      <c r="H53" s="4">
        <f t="shared" si="36"/>
        <v>0.87500000000000011</v>
      </c>
      <c r="I53" s="20" t="s">
        <v>39</v>
      </c>
      <c r="K53" s="17" t="s">
        <v>38</v>
      </c>
      <c r="L53" s="3" t="s">
        <v>12</v>
      </c>
      <c r="M53" s="4">
        <v>9</v>
      </c>
      <c r="N53" s="4">
        <v>0</v>
      </c>
      <c r="O53" s="4">
        <v>1</v>
      </c>
      <c r="P53" s="4">
        <f t="shared" si="37"/>
        <v>0.9</v>
      </c>
      <c r="Q53" s="4">
        <f t="shared" si="38"/>
        <v>1</v>
      </c>
      <c r="R53" s="4">
        <f t="shared" si="39"/>
        <v>0.94736842105263164</v>
      </c>
      <c r="S53" s="20" t="s">
        <v>40</v>
      </c>
    </row>
    <row r="54" spans="1:19" x14ac:dyDescent="0.25">
      <c r="A54" s="18"/>
      <c r="B54" s="6" t="s">
        <v>15</v>
      </c>
      <c r="C54" s="7">
        <v>11</v>
      </c>
      <c r="D54" s="7">
        <v>3</v>
      </c>
      <c r="E54" s="7">
        <v>5</v>
      </c>
      <c r="F54" s="4">
        <f t="shared" si="34"/>
        <v>0.6875</v>
      </c>
      <c r="G54" s="4">
        <f t="shared" si="35"/>
        <v>0.7857142857142857</v>
      </c>
      <c r="H54" s="4">
        <f t="shared" si="36"/>
        <v>0.73333333333333339</v>
      </c>
      <c r="I54" s="21"/>
      <c r="K54" s="18"/>
      <c r="L54" s="6" t="s">
        <v>15</v>
      </c>
      <c r="M54" s="7">
        <v>16</v>
      </c>
      <c r="N54" s="7">
        <v>1</v>
      </c>
      <c r="O54" s="7">
        <v>1</v>
      </c>
      <c r="P54" s="4">
        <f t="shared" si="37"/>
        <v>0.94117647058823528</v>
      </c>
      <c r="Q54" s="4">
        <f t="shared" si="38"/>
        <v>0.94117647058823528</v>
      </c>
      <c r="R54" s="4">
        <f t="shared" si="39"/>
        <v>0.94117647058823528</v>
      </c>
      <c r="S54" s="21"/>
    </row>
    <row r="55" spans="1:19" x14ac:dyDescent="0.25">
      <c r="A55" s="18"/>
      <c r="B55" s="6" t="s">
        <v>16</v>
      </c>
      <c r="C55" s="7">
        <v>2</v>
      </c>
      <c r="D55" s="7">
        <v>2</v>
      </c>
      <c r="E55" s="7">
        <v>2</v>
      </c>
      <c r="F55" s="4">
        <f t="shared" si="34"/>
        <v>0.5</v>
      </c>
      <c r="G55" s="4">
        <f t="shared" si="35"/>
        <v>0.5</v>
      </c>
      <c r="H55" s="4">
        <f t="shared" si="36"/>
        <v>0.5</v>
      </c>
      <c r="I55" s="21"/>
      <c r="K55" s="18"/>
      <c r="L55" s="6" t="s">
        <v>16</v>
      </c>
      <c r="M55" s="7">
        <v>3</v>
      </c>
      <c r="N55" s="7">
        <v>1</v>
      </c>
      <c r="O55" s="7">
        <v>0</v>
      </c>
      <c r="P55" s="4">
        <f t="shared" si="37"/>
        <v>1</v>
      </c>
      <c r="Q55" s="4">
        <f t="shared" si="38"/>
        <v>0.75</v>
      </c>
      <c r="R55" s="4">
        <f t="shared" si="39"/>
        <v>0.8571428571428571</v>
      </c>
      <c r="S55" s="21"/>
    </row>
    <row r="56" spans="1:19" x14ac:dyDescent="0.25">
      <c r="A56" s="18"/>
      <c r="B56" s="6" t="s">
        <v>17</v>
      </c>
      <c r="C56" s="7">
        <v>0</v>
      </c>
      <c r="D56" s="7">
        <v>4</v>
      </c>
      <c r="E56" s="7">
        <v>0</v>
      </c>
      <c r="F56" s="4">
        <f t="shared" si="34"/>
        <v>0</v>
      </c>
      <c r="G56" s="4">
        <f t="shared" si="35"/>
        <v>0</v>
      </c>
      <c r="H56" s="4">
        <f t="shared" si="36"/>
        <v>0</v>
      </c>
      <c r="I56" s="21"/>
      <c r="K56" s="18"/>
      <c r="L56" s="6" t="s">
        <v>17</v>
      </c>
      <c r="M56" s="7">
        <v>2</v>
      </c>
      <c r="N56" s="7">
        <v>3</v>
      </c>
      <c r="O56" s="7">
        <v>0</v>
      </c>
      <c r="P56" s="4">
        <f t="shared" si="37"/>
        <v>1</v>
      </c>
      <c r="Q56" s="4">
        <f t="shared" si="38"/>
        <v>0.4</v>
      </c>
      <c r="R56" s="4">
        <f t="shared" si="39"/>
        <v>0.57142857142857151</v>
      </c>
      <c r="S56" s="21"/>
    </row>
    <row r="57" spans="1:19" x14ac:dyDescent="0.25">
      <c r="A57" s="18"/>
      <c r="B57" s="6" t="s">
        <v>18</v>
      </c>
      <c r="C57" s="7">
        <v>2</v>
      </c>
      <c r="D57" s="7">
        <v>1</v>
      </c>
      <c r="E57" s="7">
        <v>0</v>
      </c>
      <c r="F57" s="4">
        <f t="shared" si="34"/>
        <v>1</v>
      </c>
      <c r="G57" s="4">
        <f t="shared" si="35"/>
        <v>0.66666666666666663</v>
      </c>
      <c r="H57" s="4">
        <f t="shared" si="36"/>
        <v>0.8</v>
      </c>
      <c r="I57" s="21"/>
      <c r="K57" s="18"/>
      <c r="L57" s="6" t="s">
        <v>18</v>
      </c>
      <c r="M57" s="7">
        <v>3</v>
      </c>
      <c r="N57" s="7">
        <v>0</v>
      </c>
      <c r="O57" s="7">
        <v>2</v>
      </c>
      <c r="P57" s="4">
        <f t="shared" si="37"/>
        <v>0.6</v>
      </c>
      <c r="Q57" s="4">
        <f t="shared" si="38"/>
        <v>1</v>
      </c>
      <c r="R57" s="4">
        <f t="shared" si="39"/>
        <v>0.74999999999999989</v>
      </c>
      <c r="S57" s="21"/>
    </row>
    <row r="58" spans="1:19" x14ac:dyDescent="0.25">
      <c r="A58" s="18"/>
      <c r="B58" s="6" t="s">
        <v>19</v>
      </c>
      <c r="C58" s="1" t="s">
        <v>25</v>
      </c>
      <c r="D58" s="1" t="s">
        <v>25</v>
      </c>
      <c r="E58" s="1" t="s">
        <v>25</v>
      </c>
      <c r="F58" s="1" t="s">
        <v>25</v>
      </c>
      <c r="G58" s="1" t="s">
        <v>25</v>
      </c>
      <c r="H58" s="1" t="s">
        <v>25</v>
      </c>
      <c r="I58" s="21"/>
      <c r="K58" s="18"/>
      <c r="L58" s="6" t="s">
        <v>19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  <c r="S58" s="21"/>
    </row>
    <row r="59" spans="1:19" x14ac:dyDescent="0.25">
      <c r="A59" s="18"/>
      <c r="B59" s="8" t="s">
        <v>20</v>
      </c>
      <c r="C59" s="9">
        <v>0</v>
      </c>
      <c r="D59" s="9">
        <v>1</v>
      </c>
      <c r="E59" s="9">
        <v>0</v>
      </c>
      <c r="F59" s="4">
        <f t="shared" ref="F59:F60" si="42">IFERROR(C59/(C59+E59), 0)</f>
        <v>0</v>
      </c>
      <c r="G59" s="4">
        <f t="shared" ref="G59:G60" si="43">IFERROR(C59/(C59+D59), 0)</f>
        <v>0</v>
      </c>
      <c r="H59" s="4">
        <f t="shared" ref="H59:H60" si="44">IFERROR(2*(F59*G59)/(F59+G59), 0)</f>
        <v>0</v>
      </c>
      <c r="I59" s="21"/>
      <c r="K59" s="18"/>
      <c r="L59" s="8" t="s">
        <v>20</v>
      </c>
      <c r="M59" s="9">
        <v>0</v>
      </c>
      <c r="N59" s="9">
        <v>1</v>
      </c>
      <c r="O59" s="9">
        <v>0</v>
      </c>
      <c r="P59" s="4">
        <f t="shared" ref="P59:P68" si="45">IFERROR(M59/(M59+O59), 0)</f>
        <v>0</v>
      </c>
      <c r="Q59" s="4">
        <f t="shared" ref="Q59:Q68" si="46">IFERROR(M59/(M59+N59), 0)</f>
        <v>0</v>
      </c>
      <c r="R59" s="4">
        <f t="shared" ref="R59:R68" si="47">IFERROR(2*(P59*Q59)/(P59+Q59), 0)</f>
        <v>0</v>
      </c>
      <c r="S59" s="21"/>
    </row>
    <row r="60" spans="1:19" x14ac:dyDescent="0.25">
      <c r="A60" s="19"/>
      <c r="B60" s="6" t="s">
        <v>21</v>
      </c>
      <c r="C60" s="7">
        <f t="shared" ref="C60:E60" si="48">SUM(C53:C59)</f>
        <v>22</v>
      </c>
      <c r="D60" s="7">
        <f t="shared" si="48"/>
        <v>13</v>
      </c>
      <c r="E60" s="7">
        <f t="shared" si="48"/>
        <v>7</v>
      </c>
      <c r="F60" s="4">
        <f t="shared" si="42"/>
        <v>0.75862068965517238</v>
      </c>
      <c r="G60" s="4">
        <f t="shared" si="43"/>
        <v>0.62857142857142856</v>
      </c>
      <c r="H60" s="4">
        <f t="shared" si="44"/>
        <v>0.6875</v>
      </c>
      <c r="I60" s="21"/>
      <c r="K60" s="19"/>
      <c r="L60" s="6" t="s">
        <v>21</v>
      </c>
      <c r="M60" s="7">
        <f t="shared" ref="M60:O60" si="49">SUM(M53:M59)</f>
        <v>33</v>
      </c>
      <c r="N60" s="7">
        <f t="shared" si="49"/>
        <v>6</v>
      </c>
      <c r="O60" s="7">
        <f t="shared" si="49"/>
        <v>4</v>
      </c>
      <c r="P60" s="4">
        <f t="shared" si="45"/>
        <v>0.89189189189189189</v>
      </c>
      <c r="Q60" s="4">
        <f t="shared" si="46"/>
        <v>0.84615384615384615</v>
      </c>
      <c r="R60" s="4">
        <f t="shared" si="47"/>
        <v>0.86842105263157898</v>
      </c>
      <c r="S60" s="21"/>
    </row>
    <row r="61" spans="1:19" x14ac:dyDescent="0.25">
      <c r="A61" s="17" t="s">
        <v>41</v>
      </c>
      <c r="B61" s="3" t="s">
        <v>12</v>
      </c>
      <c r="C61" s="5">
        <v>0</v>
      </c>
      <c r="D61" s="5">
        <v>17</v>
      </c>
      <c r="E61" s="5">
        <v>0</v>
      </c>
      <c r="F61" s="4">
        <v>0</v>
      </c>
      <c r="G61" s="4">
        <v>0</v>
      </c>
      <c r="H61" s="4">
        <v>0</v>
      </c>
      <c r="I61" s="20" t="s">
        <v>42</v>
      </c>
      <c r="K61" s="17" t="s">
        <v>41</v>
      </c>
      <c r="L61" s="3" t="s">
        <v>12</v>
      </c>
      <c r="M61" s="4">
        <v>17</v>
      </c>
      <c r="N61" s="4">
        <v>0</v>
      </c>
      <c r="O61" s="4">
        <v>2</v>
      </c>
      <c r="P61" s="4">
        <f t="shared" si="45"/>
        <v>0.89473684210526316</v>
      </c>
      <c r="Q61" s="4">
        <f t="shared" si="46"/>
        <v>1</v>
      </c>
      <c r="R61" s="4">
        <f t="shared" si="47"/>
        <v>0.94444444444444442</v>
      </c>
      <c r="S61" s="20" t="s">
        <v>43</v>
      </c>
    </row>
    <row r="62" spans="1:19" x14ac:dyDescent="0.25">
      <c r="A62" s="18"/>
      <c r="B62" s="6" t="s">
        <v>15</v>
      </c>
      <c r="C62" s="5">
        <v>0</v>
      </c>
      <c r="D62" s="1">
        <v>41</v>
      </c>
      <c r="E62" s="5">
        <v>0</v>
      </c>
      <c r="F62" s="4">
        <v>0</v>
      </c>
      <c r="G62" s="4">
        <v>0</v>
      </c>
      <c r="H62" s="4">
        <v>0</v>
      </c>
      <c r="I62" s="21"/>
      <c r="K62" s="18"/>
      <c r="L62" s="6" t="s">
        <v>15</v>
      </c>
      <c r="M62" s="7">
        <v>23</v>
      </c>
      <c r="N62" s="7">
        <v>18</v>
      </c>
      <c r="O62" s="7">
        <v>8</v>
      </c>
      <c r="P62" s="4">
        <f t="shared" si="45"/>
        <v>0.74193548387096775</v>
      </c>
      <c r="Q62" s="4">
        <f t="shared" si="46"/>
        <v>0.56097560975609762</v>
      </c>
      <c r="R62" s="4">
        <f t="shared" si="47"/>
        <v>0.63888888888888895</v>
      </c>
      <c r="S62" s="21"/>
    </row>
    <row r="63" spans="1:19" x14ac:dyDescent="0.25">
      <c r="A63" s="18"/>
      <c r="B63" s="6" t="s">
        <v>16</v>
      </c>
      <c r="C63" s="5">
        <v>0</v>
      </c>
      <c r="D63" s="1">
        <v>5</v>
      </c>
      <c r="E63" s="5">
        <v>0</v>
      </c>
      <c r="F63" s="4">
        <v>0</v>
      </c>
      <c r="G63" s="4">
        <v>0</v>
      </c>
      <c r="H63" s="4">
        <v>0</v>
      </c>
      <c r="I63" s="21"/>
      <c r="K63" s="18"/>
      <c r="L63" s="6" t="s">
        <v>16</v>
      </c>
      <c r="M63" s="7">
        <v>1</v>
      </c>
      <c r="N63" s="7">
        <v>9</v>
      </c>
      <c r="O63" s="7">
        <v>0</v>
      </c>
      <c r="P63" s="4">
        <f t="shared" si="45"/>
        <v>1</v>
      </c>
      <c r="Q63" s="4">
        <f t="shared" si="46"/>
        <v>0.1</v>
      </c>
      <c r="R63" s="4">
        <f t="shared" si="47"/>
        <v>0.18181818181818182</v>
      </c>
      <c r="S63" s="21"/>
    </row>
    <row r="64" spans="1:19" x14ac:dyDescent="0.25">
      <c r="A64" s="18"/>
      <c r="B64" s="6" t="s">
        <v>17</v>
      </c>
      <c r="C64" s="5">
        <v>0</v>
      </c>
      <c r="D64" s="1">
        <v>24</v>
      </c>
      <c r="E64" s="5">
        <v>0</v>
      </c>
      <c r="F64" s="4">
        <v>0</v>
      </c>
      <c r="G64" s="4">
        <v>0</v>
      </c>
      <c r="H64" s="4">
        <v>0</v>
      </c>
      <c r="I64" s="21"/>
      <c r="K64" s="18"/>
      <c r="L64" s="6" t="s">
        <v>17</v>
      </c>
      <c r="M64" s="7">
        <v>0</v>
      </c>
      <c r="N64" s="7">
        <v>24</v>
      </c>
      <c r="O64" s="7">
        <v>0</v>
      </c>
      <c r="P64" s="4">
        <f t="shared" si="45"/>
        <v>0</v>
      </c>
      <c r="Q64" s="4">
        <f t="shared" si="46"/>
        <v>0</v>
      </c>
      <c r="R64" s="4">
        <f t="shared" si="47"/>
        <v>0</v>
      </c>
      <c r="S64" s="21"/>
    </row>
    <row r="65" spans="1:19" x14ac:dyDescent="0.25">
      <c r="A65" s="18"/>
      <c r="B65" s="6" t="s">
        <v>18</v>
      </c>
      <c r="C65" s="5">
        <v>0</v>
      </c>
      <c r="D65" s="1">
        <v>5</v>
      </c>
      <c r="E65" s="5">
        <v>0</v>
      </c>
      <c r="F65" s="4">
        <v>0</v>
      </c>
      <c r="G65" s="4">
        <v>0</v>
      </c>
      <c r="H65" s="4">
        <v>0</v>
      </c>
      <c r="I65" s="21"/>
      <c r="K65" s="18"/>
      <c r="L65" s="6" t="s">
        <v>18</v>
      </c>
      <c r="M65" s="7">
        <v>5</v>
      </c>
      <c r="N65" s="7">
        <v>0</v>
      </c>
      <c r="O65" s="7">
        <v>5</v>
      </c>
      <c r="P65" s="4">
        <f t="shared" si="45"/>
        <v>0.5</v>
      </c>
      <c r="Q65" s="4">
        <f t="shared" si="46"/>
        <v>1</v>
      </c>
      <c r="R65" s="4">
        <f t="shared" si="47"/>
        <v>0.66666666666666663</v>
      </c>
      <c r="S65" s="21"/>
    </row>
    <row r="66" spans="1:19" x14ac:dyDescent="0.25">
      <c r="A66" s="18"/>
      <c r="B66" s="6" t="s">
        <v>19</v>
      </c>
      <c r="C66" s="5">
        <v>0</v>
      </c>
      <c r="D66" s="1">
        <v>2</v>
      </c>
      <c r="E66" s="5">
        <v>0</v>
      </c>
      <c r="F66" s="4">
        <v>0</v>
      </c>
      <c r="G66" s="4">
        <v>0</v>
      </c>
      <c r="H66" s="4">
        <v>0</v>
      </c>
      <c r="I66" s="21"/>
      <c r="K66" s="18"/>
      <c r="L66" s="6" t="s">
        <v>19</v>
      </c>
      <c r="M66" s="7">
        <v>2</v>
      </c>
      <c r="N66" s="7">
        <v>0</v>
      </c>
      <c r="O66" s="7">
        <v>2</v>
      </c>
      <c r="P66" s="4">
        <f t="shared" si="45"/>
        <v>0.5</v>
      </c>
      <c r="Q66" s="4">
        <f t="shared" si="46"/>
        <v>1</v>
      </c>
      <c r="R66" s="4">
        <f t="shared" si="47"/>
        <v>0.66666666666666663</v>
      </c>
      <c r="S66" s="21"/>
    </row>
    <row r="67" spans="1:19" x14ac:dyDescent="0.25">
      <c r="A67" s="18"/>
      <c r="B67" s="8" t="s">
        <v>20</v>
      </c>
      <c r="C67" s="5">
        <v>0</v>
      </c>
      <c r="D67" s="10">
        <v>1</v>
      </c>
      <c r="E67" s="5">
        <v>0</v>
      </c>
      <c r="F67" s="4">
        <v>0</v>
      </c>
      <c r="G67" s="4">
        <v>0</v>
      </c>
      <c r="H67" s="4">
        <v>0</v>
      </c>
      <c r="I67" s="21"/>
      <c r="K67" s="18"/>
      <c r="L67" s="8" t="s">
        <v>20</v>
      </c>
      <c r="M67" s="9">
        <v>0</v>
      </c>
      <c r="N67" s="9">
        <v>1</v>
      </c>
      <c r="O67" s="9">
        <v>0</v>
      </c>
      <c r="P67" s="4">
        <f t="shared" si="45"/>
        <v>0</v>
      </c>
      <c r="Q67" s="4">
        <f t="shared" si="46"/>
        <v>0</v>
      </c>
      <c r="R67" s="4">
        <f t="shared" si="47"/>
        <v>0</v>
      </c>
      <c r="S67" s="21"/>
    </row>
    <row r="68" spans="1:19" x14ac:dyDescent="0.25">
      <c r="A68" s="19"/>
      <c r="B68" s="6" t="s">
        <v>21</v>
      </c>
      <c r="C68" s="1">
        <v>0</v>
      </c>
      <c r="D68" s="1">
        <f>SUM(D61:D67)</f>
        <v>95</v>
      </c>
      <c r="E68" s="1">
        <v>0</v>
      </c>
      <c r="F68" s="7"/>
      <c r="G68" s="7"/>
      <c r="H68" s="7"/>
      <c r="I68" s="21"/>
      <c r="K68" s="19"/>
      <c r="L68" s="6" t="s">
        <v>21</v>
      </c>
      <c r="M68" s="1">
        <f t="shared" ref="M68:O68" si="50">SUM(M61:M67)</f>
        <v>48</v>
      </c>
      <c r="N68" s="1">
        <f t="shared" si="50"/>
        <v>52</v>
      </c>
      <c r="O68" s="1">
        <f t="shared" si="50"/>
        <v>17</v>
      </c>
      <c r="P68" s="4">
        <f t="shared" si="45"/>
        <v>0.7384615384615385</v>
      </c>
      <c r="Q68" s="4">
        <f t="shared" si="46"/>
        <v>0.48</v>
      </c>
      <c r="R68" s="4">
        <f t="shared" si="47"/>
        <v>0.5818181818181819</v>
      </c>
      <c r="S68" s="21"/>
    </row>
  </sheetData>
  <mergeCells count="32">
    <mergeCell ref="I21:I28"/>
    <mergeCell ref="K21:K28"/>
    <mergeCell ref="A29:A36"/>
    <mergeCell ref="K29:K36"/>
    <mergeCell ref="K37:K44"/>
    <mergeCell ref="A37:A44"/>
    <mergeCell ref="A45:A52"/>
    <mergeCell ref="A53:A60"/>
    <mergeCell ref="A61:A68"/>
    <mergeCell ref="A13:A20"/>
    <mergeCell ref="A21:A28"/>
    <mergeCell ref="S61:S68"/>
    <mergeCell ref="I29:I36"/>
    <mergeCell ref="I37:I44"/>
    <mergeCell ref="I45:I52"/>
    <mergeCell ref="K45:K52"/>
    <mergeCell ref="I53:I60"/>
    <mergeCell ref="K53:K60"/>
    <mergeCell ref="I61:I68"/>
    <mergeCell ref="K61:K68"/>
    <mergeCell ref="S21:S28"/>
    <mergeCell ref="S29:S36"/>
    <mergeCell ref="S37:S44"/>
    <mergeCell ref="S45:S52"/>
    <mergeCell ref="S53:S60"/>
    <mergeCell ref="A5:A12"/>
    <mergeCell ref="I5:I12"/>
    <mergeCell ref="K5:K12"/>
    <mergeCell ref="S5:S12"/>
    <mergeCell ref="I13:I20"/>
    <mergeCell ref="K13:K20"/>
    <mergeCell ref="S13:S2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S67"/>
  <sheetViews>
    <sheetView workbookViewId="0"/>
  </sheetViews>
  <sheetFormatPr defaultColWidth="12.6640625" defaultRowHeight="15.75" customHeight="1" x14ac:dyDescent="0.25"/>
  <cols>
    <col min="1" max="1" width="21.44140625" customWidth="1"/>
    <col min="2" max="2" width="14.77734375" customWidth="1"/>
    <col min="3" max="3" width="3.109375" customWidth="1"/>
    <col min="4" max="4" width="3.21875" customWidth="1"/>
    <col min="5" max="5" width="3.109375" customWidth="1"/>
    <col min="6" max="8" width="11.6640625" customWidth="1"/>
    <col min="9" max="9" width="62.77734375" customWidth="1"/>
    <col min="11" max="11" width="21.44140625" customWidth="1"/>
    <col min="12" max="12" width="14.77734375" customWidth="1"/>
    <col min="13" max="15" width="3.77734375" customWidth="1"/>
    <col min="16" max="18" width="12.6640625" customWidth="1"/>
    <col min="19" max="19" width="62.77734375" customWidth="1"/>
  </cols>
  <sheetData>
    <row r="2" spans="1:19" x14ac:dyDescent="0.25">
      <c r="A2" s="11" t="s">
        <v>0</v>
      </c>
      <c r="K2" s="11" t="s">
        <v>1</v>
      </c>
    </row>
    <row r="3" spans="1:19" x14ac:dyDescent="0.2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44</v>
      </c>
      <c r="K3" s="12" t="s">
        <v>2</v>
      </c>
      <c r="L3" s="12" t="s">
        <v>3</v>
      </c>
      <c r="M3" s="12" t="s">
        <v>4</v>
      </c>
      <c r="N3" s="12" t="s">
        <v>5</v>
      </c>
      <c r="O3" s="12" t="s">
        <v>6</v>
      </c>
      <c r="P3" s="12" t="s">
        <v>7</v>
      </c>
      <c r="Q3" s="12" t="s">
        <v>8</v>
      </c>
      <c r="R3" s="12" t="s">
        <v>9</v>
      </c>
      <c r="S3" s="12" t="s">
        <v>44</v>
      </c>
    </row>
    <row r="4" spans="1:19" x14ac:dyDescent="0.25">
      <c r="A4" s="22" t="s">
        <v>45</v>
      </c>
      <c r="B4" s="13" t="s">
        <v>12</v>
      </c>
      <c r="C4" s="14">
        <v>7</v>
      </c>
      <c r="D4" s="14">
        <v>3</v>
      </c>
      <c r="E4" s="14">
        <v>1</v>
      </c>
      <c r="F4" s="14">
        <f t="shared" ref="F4:F14" si="0">IFERROR(C4/(C4+E4), 0)</f>
        <v>0.875</v>
      </c>
      <c r="G4" s="14">
        <f t="shared" ref="G4:G14" si="1">IFERROR(C4/(C4+D4), 0)</f>
        <v>0.7</v>
      </c>
      <c r="H4" s="14">
        <f t="shared" ref="H4:H14" si="2">IFERROR(2*(F4*G4)/(F4+G4), 0)</f>
        <v>0.77777777777777768</v>
      </c>
      <c r="I4" s="25" t="s">
        <v>46</v>
      </c>
      <c r="K4" s="22" t="s">
        <v>45</v>
      </c>
      <c r="L4" s="13" t="s">
        <v>12</v>
      </c>
      <c r="M4" s="14">
        <v>8</v>
      </c>
      <c r="N4" s="14">
        <v>1</v>
      </c>
      <c r="O4" s="14">
        <v>3</v>
      </c>
      <c r="P4" s="14">
        <f t="shared" ref="P4:P14" si="3">IFERROR(M4/(M4+O4), 0)</f>
        <v>0.72727272727272729</v>
      </c>
      <c r="Q4" s="14">
        <f t="shared" ref="Q4:Q14" si="4">IFERROR(M4/(M4+N4), 0)</f>
        <v>0.88888888888888884</v>
      </c>
      <c r="R4" s="14">
        <f t="shared" ref="R4:R14" si="5">IFERROR(2*(P4*Q4)/(P4+Q4), 0)</f>
        <v>0.79999999999999993</v>
      </c>
      <c r="S4" s="25" t="s">
        <v>47</v>
      </c>
    </row>
    <row r="5" spans="1:19" x14ac:dyDescent="0.25">
      <c r="A5" s="23"/>
      <c r="B5" s="13" t="s">
        <v>15</v>
      </c>
      <c r="C5" s="14">
        <v>10</v>
      </c>
      <c r="D5" s="14">
        <v>5</v>
      </c>
      <c r="E5" s="14">
        <v>3</v>
      </c>
      <c r="F5" s="14">
        <f t="shared" si="0"/>
        <v>0.76923076923076927</v>
      </c>
      <c r="G5" s="14">
        <f t="shared" si="1"/>
        <v>0.66666666666666663</v>
      </c>
      <c r="H5" s="14">
        <f t="shared" si="2"/>
        <v>0.71428571428571419</v>
      </c>
      <c r="I5" s="21"/>
      <c r="K5" s="23"/>
      <c r="L5" s="13" t="s">
        <v>15</v>
      </c>
      <c r="M5" s="14">
        <v>8</v>
      </c>
      <c r="N5" s="14">
        <v>8</v>
      </c>
      <c r="O5" s="14">
        <v>3</v>
      </c>
      <c r="P5" s="14">
        <f t="shared" si="3"/>
        <v>0.72727272727272729</v>
      </c>
      <c r="Q5" s="14">
        <f t="shared" si="4"/>
        <v>0.5</v>
      </c>
      <c r="R5" s="14">
        <f t="shared" si="5"/>
        <v>0.59259259259259256</v>
      </c>
      <c r="S5" s="21"/>
    </row>
    <row r="6" spans="1:19" x14ac:dyDescent="0.25">
      <c r="A6" s="23"/>
      <c r="B6" s="13" t="s">
        <v>16</v>
      </c>
      <c r="C6" s="14">
        <v>1</v>
      </c>
      <c r="D6" s="14">
        <v>4</v>
      </c>
      <c r="E6" s="14">
        <v>3</v>
      </c>
      <c r="F6" s="14">
        <f t="shared" si="0"/>
        <v>0.25</v>
      </c>
      <c r="G6" s="14">
        <f t="shared" si="1"/>
        <v>0.2</v>
      </c>
      <c r="H6" s="14">
        <f t="shared" si="2"/>
        <v>0.22222222222222224</v>
      </c>
      <c r="I6" s="21"/>
      <c r="K6" s="23"/>
      <c r="L6" s="13" t="s">
        <v>16</v>
      </c>
      <c r="M6" s="14">
        <v>2</v>
      </c>
      <c r="N6" s="14">
        <v>2</v>
      </c>
      <c r="O6" s="14">
        <v>5</v>
      </c>
      <c r="P6" s="14">
        <f t="shared" si="3"/>
        <v>0.2857142857142857</v>
      </c>
      <c r="Q6" s="14">
        <f t="shared" si="4"/>
        <v>0.5</v>
      </c>
      <c r="R6" s="14">
        <f t="shared" si="5"/>
        <v>0.36363636363636365</v>
      </c>
      <c r="S6" s="21"/>
    </row>
    <row r="7" spans="1:19" x14ac:dyDescent="0.25">
      <c r="A7" s="23"/>
      <c r="B7" s="13" t="s">
        <v>17</v>
      </c>
      <c r="C7" s="14">
        <v>2</v>
      </c>
      <c r="D7" s="14">
        <v>4</v>
      </c>
      <c r="E7" s="14">
        <v>9</v>
      </c>
      <c r="F7" s="14">
        <f t="shared" si="0"/>
        <v>0.18181818181818182</v>
      </c>
      <c r="G7" s="14">
        <f t="shared" si="1"/>
        <v>0.33333333333333331</v>
      </c>
      <c r="H7" s="14">
        <f t="shared" si="2"/>
        <v>0.23529411764705885</v>
      </c>
      <c r="I7" s="21"/>
      <c r="K7" s="23"/>
      <c r="L7" s="13" t="s">
        <v>17</v>
      </c>
      <c r="M7" s="14">
        <v>2</v>
      </c>
      <c r="N7" s="14">
        <v>5</v>
      </c>
      <c r="O7" s="14">
        <v>0</v>
      </c>
      <c r="P7" s="14">
        <f t="shared" si="3"/>
        <v>1</v>
      </c>
      <c r="Q7" s="14">
        <f t="shared" si="4"/>
        <v>0.2857142857142857</v>
      </c>
      <c r="R7" s="14">
        <f t="shared" si="5"/>
        <v>0.44444444444444448</v>
      </c>
      <c r="S7" s="21"/>
    </row>
    <row r="8" spans="1:19" x14ac:dyDescent="0.25">
      <c r="A8" s="23"/>
      <c r="B8" s="13" t="s">
        <v>18</v>
      </c>
      <c r="C8" s="14">
        <v>2</v>
      </c>
      <c r="D8" s="14">
        <v>0</v>
      </c>
      <c r="E8" s="14">
        <v>2</v>
      </c>
      <c r="F8" s="14">
        <f t="shared" si="0"/>
        <v>0.5</v>
      </c>
      <c r="G8" s="14">
        <f t="shared" si="1"/>
        <v>1</v>
      </c>
      <c r="H8" s="14">
        <f t="shared" si="2"/>
        <v>0.66666666666666663</v>
      </c>
      <c r="I8" s="21"/>
      <c r="K8" s="23"/>
      <c r="L8" s="13" t="s">
        <v>18</v>
      </c>
      <c r="M8" s="14">
        <v>1</v>
      </c>
      <c r="N8" s="14">
        <v>0</v>
      </c>
      <c r="O8" s="14">
        <v>3</v>
      </c>
      <c r="P8" s="14">
        <f t="shared" si="3"/>
        <v>0.25</v>
      </c>
      <c r="Q8" s="14">
        <f t="shared" si="4"/>
        <v>1</v>
      </c>
      <c r="R8" s="14">
        <f t="shared" si="5"/>
        <v>0.4</v>
      </c>
      <c r="S8" s="21"/>
    </row>
    <row r="9" spans="1:19" x14ac:dyDescent="0.25">
      <c r="A9" s="23"/>
      <c r="B9" s="13" t="s">
        <v>19</v>
      </c>
      <c r="C9" s="14">
        <v>0</v>
      </c>
      <c r="D9" s="15" t="s">
        <v>48</v>
      </c>
      <c r="E9" s="15" t="s">
        <v>48</v>
      </c>
      <c r="F9" s="14">
        <f t="shared" si="0"/>
        <v>0</v>
      </c>
      <c r="G9" s="14">
        <f t="shared" si="1"/>
        <v>0</v>
      </c>
      <c r="H9" s="14">
        <f t="shared" si="2"/>
        <v>0</v>
      </c>
      <c r="I9" s="21"/>
      <c r="K9" s="23"/>
      <c r="L9" s="13" t="s">
        <v>19</v>
      </c>
      <c r="M9" s="14">
        <v>2</v>
      </c>
      <c r="N9" s="14">
        <v>0</v>
      </c>
      <c r="O9" s="14">
        <v>1</v>
      </c>
      <c r="P9" s="14">
        <f t="shared" si="3"/>
        <v>0.66666666666666663</v>
      </c>
      <c r="Q9" s="14">
        <f t="shared" si="4"/>
        <v>1</v>
      </c>
      <c r="R9" s="14">
        <f t="shared" si="5"/>
        <v>0.8</v>
      </c>
      <c r="S9" s="21"/>
    </row>
    <row r="10" spans="1:19" x14ac:dyDescent="0.25">
      <c r="A10" s="23"/>
      <c r="B10" s="13" t="s">
        <v>20</v>
      </c>
      <c r="C10" s="14">
        <v>0</v>
      </c>
      <c r="D10" s="15" t="s">
        <v>48</v>
      </c>
      <c r="E10" s="15" t="s">
        <v>48</v>
      </c>
      <c r="F10" s="14">
        <f t="shared" si="0"/>
        <v>0</v>
      </c>
      <c r="G10" s="14">
        <f t="shared" si="1"/>
        <v>0</v>
      </c>
      <c r="H10" s="14">
        <f t="shared" si="2"/>
        <v>0</v>
      </c>
      <c r="I10" s="21"/>
      <c r="K10" s="23"/>
      <c r="L10" s="13" t="s">
        <v>20</v>
      </c>
      <c r="M10" s="14">
        <v>0</v>
      </c>
      <c r="N10" s="14">
        <v>1</v>
      </c>
      <c r="O10" s="14">
        <v>0</v>
      </c>
      <c r="P10" s="14">
        <f t="shared" si="3"/>
        <v>0</v>
      </c>
      <c r="Q10" s="14">
        <f t="shared" si="4"/>
        <v>0</v>
      </c>
      <c r="R10" s="14">
        <f t="shared" si="5"/>
        <v>0</v>
      </c>
      <c r="S10" s="21"/>
    </row>
    <row r="11" spans="1:19" x14ac:dyDescent="0.25">
      <c r="A11" s="24"/>
      <c r="B11" s="13" t="s">
        <v>21</v>
      </c>
      <c r="C11" s="14">
        <f t="shared" ref="C11:E11" si="6">SUM(C4:C10)</f>
        <v>22</v>
      </c>
      <c r="D11" s="14">
        <f t="shared" si="6"/>
        <v>16</v>
      </c>
      <c r="E11" s="14">
        <f t="shared" si="6"/>
        <v>18</v>
      </c>
      <c r="F11" s="14">
        <f t="shared" si="0"/>
        <v>0.55000000000000004</v>
      </c>
      <c r="G11" s="14">
        <f t="shared" si="1"/>
        <v>0.57894736842105265</v>
      </c>
      <c r="H11" s="14">
        <f t="shared" si="2"/>
        <v>0.5641025641025641</v>
      </c>
      <c r="I11" s="21"/>
      <c r="K11" s="24"/>
      <c r="L11" s="13" t="s">
        <v>21</v>
      </c>
      <c r="M11" s="14">
        <f t="shared" ref="M11:O11" si="7">SUM(M4:M10)</f>
        <v>23</v>
      </c>
      <c r="N11" s="14">
        <f t="shared" si="7"/>
        <v>17</v>
      </c>
      <c r="O11" s="14">
        <f t="shared" si="7"/>
        <v>15</v>
      </c>
      <c r="P11" s="14">
        <f t="shared" si="3"/>
        <v>0.60526315789473684</v>
      </c>
      <c r="Q11" s="14">
        <f t="shared" si="4"/>
        <v>0.57499999999999996</v>
      </c>
      <c r="R11" s="14">
        <f t="shared" si="5"/>
        <v>0.58974358974358965</v>
      </c>
      <c r="S11" s="21"/>
    </row>
    <row r="12" spans="1:19" x14ac:dyDescent="0.25">
      <c r="A12" s="22" t="s">
        <v>49</v>
      </c>
      <c r="B12" s="13" t="s">
        <v>12</v>
      </c>
      <c r="C12" s="14">
        <v>10</v>
      </c>
      <c r="D12" s="14">
        <v>1</v>
      </c>
      <c r="E12" s="14">
        <v>0</v>
      </c>
      <c r="F12" s="14">
        <f t="shared" si="0"/>
        <v>1</v>
      </c>
      <c r="G12" s="14">
        <f t="shared" si="1"/>
        <v>0.90909090909090906</v>
      </c>
      <c r="H12" s="14">
        <f t="shared" si="2"/>
        <v>0.95238095238095233</v>
      </c>
      <c r="I12" s="25" t="s">
        <v>50</v>
      </c>
      <c r="K12" s="22" t="s">
        <v>49</v>
      </c>
      <c r="L12" s="13" t="s">
        <v>12</v>
      </c>
      <c r="M12" s="14">
        <v>11</v>
      </c>
      <c r="N12" s="14">
        <v>0</v>
      </c>
      <c r="O12" s="14">
        <v>3</v>
      </c>
      <c r="P12" s="14">
        <f t="shared" si="3"/>
        <v>0.7857142857142857</v>
      </c>
      <c r="Q12" s="14">
        <f t="shared" si="4"/>
        <v>1</v>
      </c>
      <c r="R12" s="14">
        <f t="shared" si="5"/>
        <v>0.88</v>
      </c>
      <c r="S12" s="25" t="s">
        <v>51</v>
      </c>
    </row>
    <row r="13" spans="1:19" x14ac:dyDescent="0.25">
      <c r="A13" s="23"/>
      <c r="B13" s="13" t="s">
        <v>15</v>
      </c>
      <c r="C13" s="14">
        <v>15</v>
      </c>
      <c r="D13" s="14">
        <v>8</v>
      </c>
      <c r="E13" s="14">
        <v>4</v>
      </c>
      <c r="F13" s="14">
        <f t="shared" si="0"/>
        <v>0.78947368421052633</v>
      </c>
      <c r="G13" s="14">
        <f t="shared" si="1"/>
        <v>0.65217391304347827</v>
      </c>
      <c r="H13" s="14">
        <f t="shared" si="2"/>
        <v>0.7142857142857143</v>
      </c>
      <c r="I13" s="21"/>
      <c r="K13" s="23"/>
      <c r="L13" s="13" t="s">
        <v>15</v>
      </c>
      <c r="M13" s="14">
        <v>12</v>
      </c>
      <c r="N13" s="14">
        <v>3</v>
      </c>
      <c r="O13" s="14">
        <v>5</v>
      </c>
      <c r="P13" s="14">
        <f t="shared" si="3"/>
        <v>0.70588235294117652</v>
      </c>
      <c r="Q13" s="14">
        <f t="shared" si="4"/>
        <v>0.8</v>
      </c>
      <c r="R13" s="14">
        <f t="shared" si="5"/>
        <v>0.75000000000000011</v>
      </c>
      <c r="S13" s="21"/>
    </row>
    <row r="14" spans="1:19" x14ac:dyDescent="0.25">
      <c r="A14" s="23"/>
      <c r="B14" s="13" t="s">
        <v>16</v>
      </c>
      <c r="C14" s="14">
        <v>0</v>
      </c>
      <c r="D14" s="15" t="s">
        <v>48</v>
      </c>
      <c r="E14" s="15" t="s">
        <v>48</v>
      </c>
      <c r="F14" s="14">
        <f t="shared" si="0"/>
        <v>0</v>
      </c>
      <c r="G14" s="14">
        <f t="shared" si="1"/>
        <v>0</v>
      </c>
      <c r="H14" s="14">
        <f t="shared" si="2"/>
        <v>0</v>
      </c>
      <c r="I14" s="21"/>
      <c r="K14" s="23"/>
      <c r="L14" s="13" t="s">
        <v>16</v>
      </c>
      <c r="M14" s="14">
        <v>4</v>
      </c>
      <c r="N14" s="14">
        <v>1</v>
      </c>
      <c r="O14" s="14">
        <v>3</v>
      </c>
      <c r="P14" s="14">
        <f t="shared" si="3"/>
        <v>0.5714285714285714</v>
      </c>
      <c r="Q14" s="14">
        <f t="shared" si="4"/>
        <v>0.8</v>
      </c>
      <c r="R14" s="14">
        <f t="shared" si="5"/>
        <v>0.66666666666666663</v>
      </c>
      <c r="S14" s="21"/>
    </row>
    <row r="15" spans="1:19" x14ac:dyDescent="0.25">
      <c r="A15" s="23"/>
      <c r="B15" s="13" t="s">
        <v>17</v>
      </c>
      <c r="C15" s="15" t="s">
        <v>48</v>
      </c>
      <c r="D15" s="15" t="s">
        <v>48</v>
      </c>
      <c r="E15" s="15" t="s">
        <v>48</v>
      </c>
      <c r="F15" s="15" t="s">
        <v>25</v>
      </c>
      <c r="G15" s="15" t="s">
        <v>25</v>
      </c>
      <c r="H15" s="15" t="s">
        <v>25</v>
      </c>
      <c r="I15" s="21"/>
      <c r="K15" s="23"/>
      <c r="L15" s="13" t="s">
        <v>17</v>
      </c>
      <c r="M15" s="15" t="s">
        <v>25</v>
      </c>
      <c r="N15" s="15" t="s">
        <v>25</v>
      </c>
      <c r="O15" s="15" t="s">
        <v>25</v>
      </c>
      <c r="P15" s="15" t="s">
        <v>25</v>
      </c>
      <c r="Q15" s="15" t="s">
        <v>25</v>
      </c>
      <c r="R15" s="15" t="s">
        <v>25</v>
      </c>
      <c r="S15" s="21"/>
    </row>
    <row r="16" spans="1:19" x14ac:dyDescent="0.25">
      <c r="A16" s="23"/>
      <c r="B16" s="13" t="s">
        <v>18</v>
      </c>
      <c r="C16" s="14">
        <v>1</v>
      </c>
      <c r="D16" s="14">
        <v>0</v>
      </c>
      <c r="E16" s="14">
        <v>2</v>
      </c>
      <c r="F16" s="14">
        <f t="shared" ref="F16:F32" si="8">IFERROR(C16/(C16+E16), 0)</f>
        <v>0.33333333333333331</v>
      </c>
      <c r="G16" s="14">
        <f t="shared" ref="G16:G32" si="9">IFERROR(C16/(C16+D16), 0)</f>
        <v>1</v>
      </c>
      <c r="H16" s="14">
        <f t="shared" ref="H16:H32" si="10">IFERROR(2*(F16*G16)/(F16+G16), 0)</f>
        <v>0.5</v>
      </c>
      <c r="I16" s="21"/>
      <c r="K16" s="23"/>
      <c r="L16" s="13" t="s">
        <v>18</v>
      </c>
      <c r="M16" s="14">
        <v>1</v>
      </c>
      <c r="N16" s="14">
        <v>0</v>
      </c>
      <c r="O16" s="14">
        <v>6</v>
      </c>
      <c r="P16" s="14">
        <f t="shared" ref="P16:P32" si="11">IFERROR(M16/(M16+O16), 0)</f>
        <v>0.14285714285714285</v>
      </c>
      <c r="Q16" s="14">
        <f t="shared" ref="Q16:Q32" si="12">IFERROR(M16/(M16+N16), 0)</f>
        <v>1</v>
      </c>
      <c r="R16" s="14">
        <f t="shared" ref="R16:R32" si="13">IFERROR(2*(P16*Q16)/(P16+Q16), 0)</f>
        <v>0.25</v>
      </c>
      <c r="S16" s="21"/>
    </row>
    <row r="17" spans="1:19" x14ac:dyDescent="0.25">
      <c r="A17" s="23"/>
      <c r="B17" s="13" t="s">
        <v>19</v>
      </c>
      <c r="C17" s="14">
        <v>2</v>
      </c>
      <c r="D17" s="14">
        <v>3</v>
      </c>
      <c r="E17" s="14">
        <v>0</v>
      </c>
      <c r="F17" s="14">
        <f t="shared" si="8"/>
        <v>1</v>
      </c>
      <c r="G17" s="14">
        <f t="shared" si="9"/>
        <v>0.4</v>
      </c>
      <c r="H17" s="14">
        <f t="shared" si="10"/>
        <v>0.57142857142857151</v>
      </c>
      <c r="I17" s="21"/>
      <c r="K17" s="23"/>
      <c r="L17" s="13" t="s">
        <v>19</v>
      </c>
      <c r="M17" s="14">
        <v>3</v>
      </c>
      <c r="N17" s="14">
        <v>2</v>
      </c>
      <c r="O17" s="14">
        <v>1</v>
      </c>
      <c r="P17" s="14">
        <f t="shared" si="11"/>
        <v>0.75</v>
      </c>
      <c r="Q17" s="14">
        <f t="shared" si="12"/>
        <v>0.6</v>
      </c>
      <c r="R17" s="14">
        <f t="shared" si="13"/>
        <v>0.66666666666666652</v>
      </c>
      <c r="S17" s="21"/>
    </row>
    <row r="18" spans="1:19" x14ac:dyDescent="0.25">
      <c r="A18" s="23"/>
      <c r="B18" s="13" t="s">
        <v>20</v>
      </c>
      <c r="C18" s="14">
        <v>1</v>
      </c>
      <c r="D18" s="14">
        <v>0</v>
      </c>
      <c r="E18" s="14">
        <v>0</v>
      </c>
      <c r="F18" s="14">
        <f t="shared" si="8"/>
        <v>1</v>
      </c>
      <c r="G18" s="14">
        <f t="shared" si="9"/>
        <v>1</v>
      </c>
      <c r="H18" s="14">
        <f t="shared" si="10"/>
        <v>1</v>
      </c>
      <c r="I18" s="21"/>
      <c r="K18" s="23"/>
      <c r="L18" s="13" t="s">
        <v>20</v>
      </c>
      <c r="M18" s="14">
        <v>0</v>
      </c>
      <c r="N18" s="14">
        <v>1</v>
      </c>
      <c r="O18" s="14">
        <v>0</v>
      </c>
      <c r="P18" s="14">
        <f t="shared" si="11"/>
        <v>0</v>
      </c>
      <c r="Q18" s="14">
        <f t="shared" si="12"/>
        <v>0</v>
      </c>
      <c r="R18" s="14">
        <f t="shared" si="13"/>
        <v>0</v>
      </c>
      <c r="S18" s="21"/>
    </row>
    <row r="19" spans="1:19" x14ac:dyDescent="0.25">
      <c r="A19" s="24"/>
      <c r="B19" s="13" t="s">
        <v>21</v>
      </c>
      <c r="C19" s="14">
        <f t="shared" ref="C19:E19" si="14">SUM(C12:C18)</f>
        <v>29</v>
      </c>
      <c r="D19" s="14">
        <f t="shared" si="14"/>
        <v>12</v>
      </c>
      <c r="E19" s="14">
        <f t="shared" si="14"/>
        <v>6</v>
      </c>
      <c r="F19" s="14">
        <f t="shared" si="8"/>
        <v>0.82857142857142863</v>
      </c>
      <c r="G19" s="14">
        <f t="shared" si="9"/>
        <v>0.70731707317073167</v>
      </c>
      <c r="H19" s="14">
        <f t="shared" si="10"/>
        <v>0.76315789473684215</v>
      </c>
      <c r="I19" s="21"/>
      <c r="K19" s="24"/>
      <c r="L19" s="13" t="s">
        <v>21</v>
      </c>
      <c r="M19" s="14">
        <f t="shared" ref="M19:O19" si="15">SUM(M12:M18)</f>
        <v>31</v>
      </c>
      <c r="N19" s="14">
        <f t="shared" si="15"/>
        <v>7</v>
      </c>
      <c r="O19" s="14">
        <f t="shared" si="15"/>
        <v>18</v>
      </c>
      <c r="P19" s="14">
        <f t="shared" si="11"/>
        <v>0.63265306122448983</v>
      </c>
      <c r="Q19" s="14">
        <f t="shared" si="12"/>
        <v>0.81578947368421051</v>
      </c>
      <c r="R19" s="14">
        <f t="shared" si="13"/>
        <v>0.71264367816091956</v>
      </c>
      <c r="S19" s="21"/>
    </row>
    <row r="20" spans="1:19" x14ac:dyDescent="0.25">
      <c r="A20" s="22" t="s">
        <v>52</v>
      </c>
      <c r="B20" s="13" t="s">
        <v>12</v>
      </c>
      <c r="C20" s="14">
        <v>7</v>
      </c>
      <c r="D20" s="14">
        <v>2</v>
      </c>
      <c r="E20" s="14">
        <v>0</v>
      </c>
      <c r="F20" s="14">
        <f t="shared" si="8"/>
        <v>1</v>
      </c>
      <c r="G20" s="14">
        <f t="shared" si="9"/>
        <v>0.77777777777777779</v>
      </c>
      <c r="H20" s="14">
        <f t="shared" si="10"/>
        <v>0.87500000000000011</v>
      </c>
      <c r="I20" s="25" t="s">
        <v>53</v>
      </c>
      <c r="K20" s="22" t="s">
        <v>52</v>
      </c>
      <c r="L20" s="13" t="s">
        <v>12</v>
      </c>
      <c r="M20" s="14">
        <v>7</v>
      </c>
      <c r="N20" s="14">
        <v>2</v>
      </c>
      <c r="O20" s="14">
        <v>0</v>
      </c>
      <c r="P20" s="14">
        <f t="shared" si="11"/>
        <v>1</v>
      </c>
      <c r="Q20" s="14">
        <f t="shared" si="12"/>
        <v>0.77777777777777779</v>
      </c>
      <c r="R20" s="14">
        <f t="shared" si="13"/>
        <v>0.87500000000000011</v>
      </c>
      <c r="S20" s="25" t="s">
        <v>54</v>
      </c>
    </row>
    <row r="21" spans="1:19" x14ac:dyDescent="0.25">
      <c r="A21" s="23"/>
      <c r="B21" s="13" t="s">
        <v>15</v>
      </c>
      <c r="C21" s="14">
        <v>13</v>
      </c>
      <c r="D21" s="14">
        <v>1</v>
      </c>
      <c r="E21" s="14">
        <v>2</v>
      </c>
      <c r="F21" s="14">
        <f t="shared" si="8"/>
        <v>0.8666666666666667</v>
      </c>
      <c r="G21" s="14">
        <f t="shared" si="9"/>
        <v>0.9285714285714286</v>
      </c>
      <c r="H21" s="14">
        <f t="shared" si="10"/>
        <v>0.89655172413793105</v>
      </c>
      <c r="I21" s="21"/>
      <c r="K21" s="23"/>
      <c r="L21" s="13" t="s">
        <v>15</v>
      </c>
      <c r="M21" s="14">
        <v>6</v>
      </c>
      <c r="N21" s="14">
        <v>9</v>
      </c>
      <c r="O21" s="14">
        <v>5</v>
      </c>
      <c r="P21" s="14">
        <f t="shared" si="11"/>
        <v>0.54545454545454541</v>
      </c>
      <c r="Q21" s="14">
        <f t="shared" si="12"/>
        <v>0.4</v>
      </c>
      <c r="R21" s="14">
        <f t="shared" si="13"/>
        <v>0.46153846153846151</v>
      </c>
      <c r="S21" s="21"/>
    </row>
    <row r="22" spans="1:19" x14ac:dyDescent="0.25">
      <c r="A22" s="23"/>
      <c r="B22" s="13" t="s">
        <v>16</v>
      </c>
      <c r="C22" s="14">
        <v>0</v>
      </c>
      <c r="D22" s="15" t="s">
        <v>48</v>
      </c>
      <c r="E22" s="15" t="s">
        <v>48</v>
      </c>
      <c r="F22" s="14">
        <f t="shared" si="8"/>
        <v>0</v>
      </c>
      <c r="G22" s="14">
        <f t="shared" si="9"/>
        <v>0</v>
      </c>
      <c r="H22" s="14">
        <f t="shared" si="10"/>
        <v>0</v>
      </c>
      <c r="I22" s="21"/>
      <c r="K22" s="23"/>
      <c r="L22" s="13" t="s">
        <v>16</v>
      </c>
      <c r="M22" s="14">
        <v>0</v>
      </c>
      <c r="N22" s="14">
        <v>4</v>
      </c>
      <c r="O22" s="14">
        <v>3</v>
      </c>
      <c r="P22" s="14">
        <f t="shared" si="11"/>
        <v>0</v>
      </c>
      <c r="Q22" s="14">
        <f t="shared" si="12"/>
        <v>0</v>
      </c>
      <c r="R22" s="14">
        <f t="shared" si="13"/>
        <v>0</v>
      </c>
      <c r="S22" s="21"/>
    </row>
    <row r="23" spans="1:19" x14ac:dyDescent="0.25">
      <c r="A23" s="23"/>
      <c r="B23" s="13" t="s">
        <v>17</v>
      </c>
      <c r="C23" s="14">
        <v>4</v>
      </c>
      <c r="D23" s="14">
        <v>2</v>
      </c>
      <c r="E23" s="14">
        <v>12</v>
      </c>
      <c r="F23" s="14">
        <f t="shared" si="8"/>
        <v>0.25</v>
      </c>
      <c r="G23" s="14">
        <f t="shared" si="9"/>
        <v>0.66666666666666663</v>
      </c>
      <c r="H23" s="14">
        <f t="shared" si="10"/>
        <v>0.36363636363636365</v>
      </c>
      <c r="I23" s="21"/>
      <c r="K23" s="23"/>
      <c r="L23" s="13" t="s">
        <v>17</v>
      </c>
      <c r="M23" s="14">
        <v>2</v>
      </c>
      <c r="N23" s="14">
        <v>4</v>
      </c>
      <c r="O23" s="14">
        <v>10</v>
      </c>
      <c r="P23" s="14">
        <f t="shared" si="11"/>
        <v>0.16666666666666666</v>
      </c>
      <c r="Q23" s="14">
        <f t="shared" si="12"/>
        <v>0.33333333333333331</v>
      </c>
      <c r="R23" s="14">
        <f t="shared" si="13"/>
        <v>0.22222222222222221</v>
      </c>
      <c r="S23" s="21"/>
    </row>
    <row r="24" spans="1:19" x14ac:dyDescent="0.25">
      <c r="A24" s="23"/>
      <c r="B24" s="13" t="s">
        <v>18</v>
      </c>
      <c r="C24" s="14">
        <v>1</v>
      </c>
      <c r="D24" s="14">
        <v>1</v>
      </c>
      <c r="E24" s="14">
        <v>3</v>
      </c>
      <c r="F24" s="14">
        <f t="shared" si="8"/>
        <v>0.25</v>
      </c>
      <c r="G24" s="14">
        <f t="shared" si="9"/>
        <v>0.5</v>
      </c>
      <c r="H24" s="14">
        <f t="shared" si="10"/>
        <v>0.33333333333333331</v>
      </c>
      <c r="I24" s="21"/>
      <c r="K24" s="23"/>
      <c r="L24" s="13" t="s">
        <v>18</v>
      </c>
      <c r="M24" s="14">
        <v>2</v>
      </c>
      <c r="N24" s="14">
        <v>0</v>
      </c>
      <c r="O24" s="14">
        <v>1</v>
      </c>
      <c r="P24" s="14">
        <f t="shared" si="11"/>
        <v>0.66666666666666663</v>
      </c>
      <c r="Q24" s="14">
        <f t="shared" si="12"/>
        <v>1</v>
      </c>
      <c r="R24" s="14">
        <f t="shared" si="13"/>
        <v>0.8</v>
      </c>
      <c r="S24" s="21"/>
    </row>
    <row r="25" spans="1:19" x14ac:dyDescent="0.25">
      <c r="A25" s="23"/>
      <c r="B25" s="13" t="s">
        <v>19</v>
      </c>
      <c r="C25" s="14">
        <v>0</v>
      </c>
      <c r="D25" s="15" t="s">
        <v>48</v>
      </c>
      <c r="E25" s="15" t="s">
        <v>48</v>
      </c>
      <c r="F25" s="14">
        <f t="shared" si="8"/>
        <v>0</v>
      </c>
      <c r="G25" s="14">
        <f t="shared" si="9"/>
        <v>0</v>
      </c>
      <c r="H25" s="14">
        <f t="shared" si="10"/>
        <v>0</v>
      </c>
      <c r="I25" s="21"/>
      <c r="K25" s="23"/>
      <c r="L25" s="13" t="s">
        <v>19</v>
      </c>
      <c r="M25" s="14">
        <v>0</v>
      </c>
      <c r="N25" s="14">
        <v>2</v>
      </c>
      <c r="O25" s="14">
        <v>3</v>
      </c>
      <c r="P25" s="14">
        <f t="shared" si="11"/>
        <v>0</v>
      </c>
      <c r="Q25" s="14">
        <f t="shared" si="12"/>
        <v>0</v>
      </c>
      <c r="R25" s="14">
        <f t="shared" si="13"/>
        <v>0</v>
      </c>
      <c r="S25" s="21"/>
    </row>
    <row r="26" spans="1:19" x14ac:dyDescent="0.25">
      <c r="A26" s="23"/>
      <c r="B26" s="13" t="s">
        <v>20</v>
      </c>
      <c r="C26" s="14">
        <v>0</v>
      </c>
      <c r="D26" s="15" t="s">
        <v>48</v>
      </c>
      <c r="E26" s="15" t="s">
        <v>48</v>
      </c>
      <c r="F26" s="14">
        <f t="shared" si="8"/>
        <v>0</v>
      </c>
      <c r="G26" s="14">
        <f t="shared" si="9"/>
        <v>0</v>
      </c>
      <c r="H26" s="14">
        <f t="shared" si="10"/>
        <v>0</v>
      </c>
      <c r="I26" s="21"/>
      <c r="K26" s="23"/>
      <c r="L26" s="13" t="s">
        <v>20</v>
      </c>
      <c r="M26" s="14">
        <v>0</v>
      </c>
      <c r="N26" s="14">
        <v>1</v>
      </c>
      <c r="O26" s="14">
        <v>0</v>
      </c>
      <c r="P26" s="14">
        <f t="shared" si="11"/>
        <v>0</v>
      </c>
      <c r="Q26" s="14">
        <f t="shared" si="12"/>
        <v>0</v>
      </c>
      <c r="R26" s="14">
        <f t="shared" si="13"/>
        <v>0</v>
      </c>
      <c r="S26" s="21"/>
    </row>
    <row r="27" spans="1:19" x14ac:dyDescent="0.25">
      <c r="A27" s="24"/>
      <c r="B27" s="13" t="s">
        <v>21</v>
      </c>
      <c r="C27" s="14">
        <f t="shared" ref="C27:E27" si="16">SUM(C20:C26)</f>
        <v>25</v>
      </c>
      <c r="D27" s="14">
        <f t="shared" si="16"/>
        <v>6</v>
      </c>
      <c r="E27" s="14">
        <f t="shared" si="16"/>
        <v>17</v>
      </c>
      <c r="F27" s="14">
        <f t="shared" si="8"/>
        <v>0.59523809523809523</v>
      </c>
      <c r="G27" s="14">
        <f t="shared" si="9"/>
        <v>0.80645161290322576</v>
      </c>
      <c r="H27" s="14">
        <f t="shared" si="10"/>
        <v>0.68493150684931503</v>
      </c>
      <c r="I27" s="21"/>
      <c r="K27" s="24"/>
      <c r="L27" s="13" t="s">
        <v>21</v>
      </c>
      <c r="M27" s="14">
        <f t="shared" ref="M27:O27" si="17">SUM(M20:M26)</f>
        <v>17</v>
      </c>
      <c r="N27" s="14">
        <f t="shared" si="17"/>
        <v>22</v>
      </c>
      <c r="O27" s="14">
        <f t="shared" si="17"/>
        <v>22</v>
      </c>
      <c r="P27" s="14">
        <f t="shared" si="11"/>
        <v>0.4358974358974359</v>
      </c>
      <c r="Q27" s="14">
        <f t="shared" si="12"/>
        <v>0.4358974358974359</v>
      </c>
      <c r="R27" s="14">
        <f t="shared" si="13"/>
        <v>0.4358974358974359</v>
      </c>
      <c r="S27" s="21"/>
    </row>
    <row r="28" spans="1:19" x14ac:dyDescent="0.25">
      <c r="A28" s="22" t="s">
        <v>55</v>
      </c>
      <c r="B28" s="13" t="s">
        <v>12</v>
      </c>
      <c r="C28" s="14">
        <v>7</v>
      </c>
      <c r="D28" s="14">
        <v>2</v>
      </c>
      <c r="E28" s="14">
        <v>1</v>
      </c>
      <c r="F28" s="14">
        <f t="shared" si="8"/>
        <v>0.875</v>
      </c>
      <c r="G28" s="14">
        <f t="shared" si="9"/>
        <v>0.77777777777777779</v>
      </c>
      <c r="H28" s="14">
        <f t="shared" si="10"/>
        <v>0.82352941176470595</v>
      </c>
      <c r="I28" s="25" t="s">
        <v>56</v>
      </c>
      <c r="K28" s="22" t="s">
        <v>55</v>
      </c>
      <c r="L28" s="13" t="s">
        <v>12</v>
      </c>
      <c r="M28" s="14">
        <v>8</v>
      </c>
      <c r="N28" s="14">
        <v>1</v>
      </c>
      <c r="O28" s="14">
        <v>2</v>
      </c>
      <c r="P28" s="14">
        <f t="shared" si="11"/>
        <v>0.8</v>
      </c>
      <c r="Q28" s="14">
        <f t="shared" si="12"/>
        <v>0.88888888888888884</v>
      </c>
      <c r="R28" s="14">
        <f t="shared" si="13"/>
        <v>0.8421052631578948</v>
      </c>
      <c r="S28" s="25" t="s">
        <v>57</v>
      </c>
    </row>
    <row r="29" spans="1:19" x14ac:dyDescent="0.25">
      <c r="A29" s="23"/>
      <c r="B29" s="13" t="s">
        <v>15</v>
      </c>
      <c r="C29" s="14">
        <v>9</v>
      </c>
      <c r="D29" s="14">
        <v>4</v>
      </c>
      <c r="E29" s="14">
        <v>2</v>
      </c>
      <c r="F29" s="14">
        <f t="shared" si="8"/>
        <v>0.81818181818181823</v>
      </c>
      <c r="G29" s="14">
        <f t="shared" si="9"/>
        <v>0.69230769230769229</v>
      </c>
      <c r="H29" s="14">
        <f t="shared" si="10"/>
        <v>0.75000000000000011</v>
      </c>
      <c r="I29" s="21"/>
      <c r="K29" s="23"/>
      <c r="L29" s="13" t="s">
        <v>15</v>
      </c>
      <c r="M29" s="14">
        <v>9</v>
      </c>
      <c r="N29" s="14">
        <v>7</v>
      </c>
      <c r="O29" s="14">
        <v>7</v>
      </c>
      <c r="P29" s="14">
        <f t="shared" si="11"/>
        <v>0.5625</v>
      </c>
      <c r="Q29" s="14">
        <f t="shared" si="12"/>
        <v>0.5625</v>
      </c>
      <c r="R29" s="14">
        <f t="shared" si="13"/>
        <v>0.5625</v>
      </c>
      <c r="S29" s="21"/>
    </row>
    <row r="30" spans="1:19" x14ac:dyDescent="0.25">
      <c r="A30" s="23"/>
      <c r="B30" s="13" t="s">
        <v>16</v>
      </c>
      <c r="C30" s="14">
        <v>4</v>
      </c>
      <c r="D30" s="14">
        <v>3</v>
      </c>
      <c r="E30" s="14">
        <v>4</v>
      </c>
      <c r="F30" s="14">
        <f t="shared" si="8"/>
        <v>0.5</v>
      </c>
      <c r="G30" s="14">
        <f t="shared" si="9"/>
        <v>0.5714285714285714</v>
      </c>
      <c r="H30" s="14">
        <f t="shared" si="10"/>
        <v>0.53333333333333333</v>
      </c>
      <c r="I30" s="21"/>
      <c r="K30" s="23"/>
      <c r="L30" s="13" t="s">
        <v>16</v>
      </c>
      <c r="M30" s="14">
        <v>1</v>
      </c>
      <c r="N30" s="14">
        <v>6</v>
      </c>
      <c r="O30" s="14">
        <v>6</v>
      </c>
      <c r="P30" s="14">
        <f t="shared" si="11"/>
        <v>0.14285714285714285</v>
      </c>
      <c r="Q30" s="14">
        <f t="shared" si="12"/>
        <v>0.14285714285714285</v>
      </c>
      <c r="R30" s="14">
        <f t="shared" si="13"/>
        <v>0.14285714285714285</v>
      </c>
      <c r="S30" s="21"/>
    </row>
    <row r="31" spans="1:19" x14ac:dyDescent="0.25">
      <c r="A31" s="23"/>
      <c r="B31" s="13" t="s">
        <v>17</v>
      </c>
      <c r="C31" s="14">
        <v>3</v>
      </c>
      <c r="D31" s="14">
        <v>3</v>
      </c>
      <c r="E31" s="14">
        <v>10</v>
      </c>
      <c r="F31" s="14">
        <f t="shared" si="8"/>
        <v>0.23076923076923078</v>
      </c>
      <c r="G31" s="14">
        <f t="shared" si="9"/>
        <v>0.5</v>
      </c>
      <c r="H31" s="14">
        <f t="shared" si="10"/>
        <v>0.31578947368421051</v>
      </c>
      <c r="I31" s="21"/>
      <c r="K31" s="23"/>
      <c r="L31" s="13" t="s">
        <v>17</v>
      </c>
      <c r="M31" s="14">
        <v>1</v>
      </c>
      <c r="N31" s="14">
        <v>5</v>
      </c>
      <c r="O31" s="14">
        <v>14</v>
      </c>
      <c r="P31" s="14">
        <f t="shared" si="11"/>
        <v>6.6666666666666666E-2</v>
      </c>
      <c r="Q31" s="14">
        <f t="shared" si="12"/>
        <v>0.16666666666666666</v>
      </c>
      <c r="R31" s="14">
        <f t="shared" si="13"/>
        <v>9.5238095238095219E-2</v>
      </c>
      <c r="S31" s="21"/>
    </row>
    <row r="32" spans="1:19" x14ac:dyDescent="0.25">
      <c r="A32" s="23"/>
      <c r="B32" s="13" t="s">
        <v>18</v>
      </c>
      <c r="C32" s="14">
        <v>2</v>
      </c>
      <c r="D32" s="14">
        <v>0</v>
      </c>
      <c r="E32" s="14">
        <v>1</v>
      </c>
      <c r="F32" s="14">
        <f t="shared" si="8"/>
        <v>0.66666666666666663</v>
      </c>
      <c r="G32" s="14">
        <f t="shared" si="9"/>
        <v>1</v>
      </c>
      <c r="H32" s="14">
        <f t="shared" si="10"/>
        <v>0.8</v>
      </c>
      <c r="I32" s="21"/>
      <c r="K32" s="23"/>
      <c r="L32" s="13" t="s">
        <v>18</v>
      </c>
      <c r="M32" s="14">
        <v>1</v>
      </c>
      <c r="N32" s="14">
        <v>0</v>
      </c>
      <c r="O32" s="14">
        <v>1</v>
      </c>
      <c r="P32" s="14">
        <f t="shared" si="11"/>
        <v>0.5</v>
      </c>
      <c r="Q32" s="14">
        <f t="shared" si="12"/>
        <v>1</v>
      </c>
      <c r="R32" s="14">
        <f t="shared" si="13"/>
        <v>0.66666666666666663</v>
      </c>
      <c r="S32" s="21"/>
    </row>
    <row r="33" spans="1:19" x14ac:dyDescent="0.25">
      <c r="A33" s="23"/>
      <c r="B33" s="13" t="s">
        <v>19</v>
      </c>
      <c r="C33" s="15" t="s">
        <v>48</v>
      </c>
      <c r="D33" s="15" t="s">
        <v>48</v>
      </c>
      <c r="E33" s="15" t="s">
        <v>48</v>
      </c>
      <c r="F33" s="15" t="s">
        <v>25</v>
      </c>
      <c r="G33" s="15" t="s">
        <v>25</v>
      </c>
      <c r="H33" s="15" t="s">
        <v>25</v>
      </c>
      <c r="I33" s="21"/>
      <c r="K33" s="23"/>
      <c r="L33" s="13" t="s">
        <v>19</v>
      </c>
      <c r="M33" s="14">
        <v>0</v>
      </c>
      <c r="N33" s="14">
        <v>0</v>
      </c>
      <c r="O33" s="14">
        <v>2</v>
      </c>
      <c r="P33" s="15" t="s">
        <v>25</v>
      </c>
      <c r="Q33" s="15" t="s">
        <v>25</v>
      </c>
      <c r="R33" s="15" t="s">
        <v>25</v>
      </c>
      <c r="S33" s="21"/>
    </row>
    <row r="34" spans="1:19" x14ac:dyDescent="0.25">
      <c r="A34" s="23"/>
      <c r="B34" s="13" t="s">
        <v>20</v>
      </c>
      <c r="C34" s="14">
        <v>0</v>
      </c>
      <c r="D34" s="14">
        <v>1</v>
      </c>
      <c r="E34" s="14">
        <v>0</v>
      </c>
      <c r="F34" s="14">
        <f t="shared" ref="F34:F40" si="18">IFERROR(C34/(C34+E34), 0)</f>
        <v>0</v>
      </c>
      <c r="G34" s="14">
        <f t="shared" ref="G34:G40" si="19">IFERROR(C34/(C34+D34), 0)</f>
        <v>0</v>
      </c>
      <c r="H34" s="14">
        <f t="shared" ref="H34:H40" si="20">IFERROR(2*(F34*G34)/(F34+G34), 0)</f>
        <v>0</v>
      </c>
      <c r="I34" s="21"/>
      <c r="K34" s="23"/>
      <c r="L34" s="13" t="s">
        <v>20</v>
      </c>
      <c r="M34" s="14">
        <v>0</v>
      </c>
      <c r="N34" s="14">
        <v>1</v>
      </c>
      <c r="O34" s="14">
        <v>0</v>
      </c>
      <c r="P34" s="14">
        <f t="shared" ref="P34:P40" si="21">IFERROR(M34/(M34+O34), 0)</f>
        <v>0</v>
      </c>
      <c r="Q34" s="14">
        <f t="shared" ref="Q34:Q40" si="22">IFERROR(M34/(M34+N34), 0)</f>
        <v>0</v>
      </c>
      <c r="R34" s="14">
        <f t="shared" ref="R34:R40" si="23">IFERROR(2*(P34*Q34)/(P34+Q34), 0)</f>
        <v>0</v>
      </c>
      <c r="S34" s="21"/>
    </row>
    <row r="35" spans="1:19" x14ac:dyDescent="0.25">
      <c r="A35" s="24"/>
      <c r="B35" s="13" t="s">
        <v>21</v>
      </c>
      <c r="C35" s="14">
        <f t="shared" ref="C35:E35" si="24">SUM(C28:C34)</f>
        <v>25</v>
      </c>
      <c r="D35" s="14">
        <f t="shared" si="24"/>
        <v>13</v>
      </c>
      <c r="E35" s="14">
        <f t="shared" si="24"/>
        <v>18</v>
      </c>
      <c r="F35" s="14">
        <f t="shared" si="18"/>
        <v>0.58139534883720934</v>
      </c>
      <c r="G35" s="14">
        <f t="shared" si="19"/>
        <v>0.65789473684210531</v>
      </c>
      <c r="H35" s="14">
        <f t="shared" si="20"/>
        <v>0.61728395061728392</v>
      </c>
      <c r="I35" s="21"/>
      <c r="K35" s="24"/>
      <c r="L35" s="13" t="s">
        <v>21</v>
      </c>
      <c r="M35" s="14">
        <f t="shared" ref="M35:O35" si="25">SUM(M28:M34)</f>
        <v>20</v>
      </c>
      <c r="N35" s="14">
        <f t="shared" si="25"/>
        <v>20</v>
      </c>
      <c r="O35" s="14">
        <f t="shared" si="25"/>
        <v>32</v>
      </c>
      <c r="P35" s="14">
        <f t="shared" si="21"/>
        <v>0.38461538461538464</v>
      </c>
      <c r="Q35" s="14">
        <f t="shared" si="22"/>
        <v>0.5</v>
      </c>
      <c r="R35" s="14">
        <f t="shared" si="23"/>
        <v>0.43478260869565222</v>
      </c>
      <c r="S35" s="21"/>
    </row>
    <row r="36" spans="1:19" x14ac:dyDescent="0.25">
      <c r="A36" s="22" t="s">
        <v>58</v>
      </c>
      <c r="B36" s="13" t="s">
        <v>12</v>
      </c>
      <c r="C36" s="14">
        <v>6</v>
      </c>
      <c r="D36" s="14">
        <v>1</v>
      </c>
      <c r="E36" s="14">
        <v>4</v>
      </c>
      <c r="F36" s="14">
        <f t="shared" si="18"/>
        <v>0.6</v>
      </c>
      <c r="G36" s="14">
        <f t="shared" si="19"/>
        <v>0.8571428571428571</v>
      </c>
      <c r="H36" s="14">
        <f t="shared" si="20"/>
        <v>0.70588235294117641</v>
      </c>
      <c r="I36" s="25" t="s">
        <v>59</v>
      </c>
      <c r="K36" s="22" t="s">
        <v>58</v>
      </c>
      <c r="L36" s="13" t="s">
        <v>12</v>
      </c>
      <c r="M36" s="14">
        <v>7</v>
      </c>
      <c r="N36" s="14">
        <v>0</v>
      </c>
      <c r="O36" s="14">
        <v>5</v>
      </c>
      <c r="P36" s="14">
        <f t="shared" si="21"/>
        <v>0.58333333333333337</v>
      </c>
      <c r="Q36" s="14">
        <f t="shared" si="22"/>
        <v>1</v>
      </c>
      <c r="R36" s="14">
        <f t="shared" si="23"/>
        <v>0.73684210526315785</v>
      </c>
      <c r="S36" s="25" t="s">
        <v>60</v>
      </c>
    </row>
    <row r="37" spans="1:19" x14ac:dyDescent="0.25">
      <c r="A37" s="23"/>
      <c r="B37" s="13" t="s">
        <v>15</v>
      </c>
      <c r="C37" s="14">
        <v>11</v>
      </c>
      <c r="D37" s="14">
        <v>13</v>
      </c>
      <c r="E37" s="14">
        <v>9</v>
      </c>
      <c r="F37" s="14">
        <f t="shared" si="18"/>
        <v>0.55000000000000004</v>
      </c>
      <c r="G37" s="14">
        <f t="shared" si="19"/>
        <v>0.45833333333333331</v>
      </c>
      <c r="H37" s="14">
        <f t="shared" si="20"/>
        <v>0.5</v>
      </c>
      <c r="I37" s="21"/>
      <c r="K37" s="23"/>
      <c r="L37" s="13" t="s">
        <v>15</v>
      </c>
      <c r="M37" s="14">
        <v>3</v>
      </c>
      <c r="N37" s="14">
        <v>20</v>
      </c>
      <c r="O37" s="14">
        <v>7</v>
      </c>
      <c r="P37" s="14">
        <f t="shared" si="21"/>
        <v>0.3</v>
      </c>
      <c r="Q37" s="14">
        <f t="shared" si="22"/>
        <v>0.13043478260869565</v>
      </c>
      <c r="R37" s="14">
        <f t="shared" si="23"/>
        <v>0.18181818181818182</v>
      </c>
      <c r="S37" s="21"/>
    </row>
    <row r="38" spans="1:19" x14ac:dyDescent="0.25">
      <c r="A38" s="23"/>
      <c r="B38" s="13" t="s">
        <v>16</v>
      </c>
      <c r="C38" s="14">
        <v>2</v>
      </c>
      <c r="D38" s="14">
        <v>8</v>
      </c>
      <c r="E38" s="14">
        <v>0</v>
      </c>
      <c r="F38" s="14">
        <f t="shared" si="18"/>
        <v>1</v>
      </c>
      <c r="G38" s="14">
        <f t="shared" si="19"/>
        <v>0.2</v>
      </c>
      <c r="H38" s="14">
        <f t="shared" si="20"/>
        <v>0.33333333333333337</v>
      </c>
      <c r="I38" s="21"/>
      <c r="K38" s="23"/>
      <c r="L38" s="13" t="s">
        <v>16</v>
      </c>
      <c r="M38" s="14">
        <v>1</v>
      </c>
      <c r="N38" s="14">
        <v>10</v>
      </c>
      <c r="O38" s="14">
        <v>3</v>
      </c>
      <c r="P38" s="14">
        <f t="shared" si="21"/>
        <v>0.25</v>
      </c>
      <c r="Q38" s="14">
        <f t="shared" si="22"/>
        <v>9.0909090909090912E-2</v>
      </c>
      <c r="R38" s="14">
        <f t="shared" si="23"/>
        <v>0.13333333333333333</v>
      </c>
      <c r="S38" s="21"/>
    </row>
    <row r="39" spans="1:19" x14ac:dyDescent="0.25">
      <c r="A39" s="23"/>
      <c r="B39" s="13" t="s">
        <v>17</v>
      </c>
      <c r="C39" s="14">
        <v>8</v>
      </c>
      <c r="D39" s="14">
        <v>7</v>
      </c>
      <c r="E39" s="14">
        <v>2</v>
      </c>
      <c r="F39" s="14">
        <f t="shared" si="18"/>
        <v>0.8</v>
      </c>
      <c r="G39" s="14">
        <f t="shared" si="19"/>
        <v>0.53333333333333333</v>
      </c>
      <c r="H39" s="14">
        <f t="shared" si="20"/>
        <v>0.64</v>
      </c>
      <c r="I39" s="21"/>
      <c r="K39" s="23"/>
      <c r="L39" s="13" t="s">
        <v>17</v>
      </c>
      <c r="M39" s="14">
        <v>0</v>
      </c>
      <c r="N39" s="14">
        <v>16</v>
      </c>
      <c r="O39" s="14">
        <v>7</v>
      </c>
      <c r="P39" s="14">
        <f t="shared" si="21"/>
        <v>0</v>
      </c>
      <c r="Q39" s="14">
        <f t="shared" si="22"/>
        <v>0</v>
      </c>
      <c r="R39" s="14">
        <f t="shared" si="23"/>
        <v>0</v>
      </c>
      <c r="S39" s="21"/>
    </row>
    <row r="40" spans="1:19" x14ac:dyDescent="0.25">
      <c r="A40" s="23"/>
      <c r="B40" s="13" t="s">
        <v>18</v>
      </c>
      <c r="C40" s="14">
        <v>2</v>
      </c>
      <c r="D40" s="14">
        <v>0</v>
      </c>
      <c r="E40" s="14">
        <v>2</v>
      </c>
      <c r="F40" s="14">
        <f t="shared" si="18"/>
        <v>0.5</v>
      </c>
      <c r="G40" s="14">
        <f t="shared" si="19"/>
        <v>1</v>
      </c>
      <c r="H40" s="14">
        <f t="shared" si="20"/>
        <v>0.66666666666666663</v>
      </c>
      <c r="I40" s="21"/>
      <c r="K40" s="23"/>
      <c r="L40" s="13" t="s">
        <v>18</v>
      </c>
      <c r="M40" s="14">
        <v>1</v>
      </c>
      <c r="N40" s="14">
        <v>0</v>
      </c>
      <c r="O40" s="14">
        <v>2</v>
      </c>
      <c r="P40" s="14">
        <f t="shared" si="21"/>
        <v>0.33333333333333331</v>
      </c>
      <c r="Q40" s="14">
        <f t="shared" si="22"/>
        <v>1</v>
      </c>
      <c r="R40" s="14">
        <f t="shared" si="23"/>
        <v>0.5</v>
      </c>
      <c r="S40" s="21"/>
    </row>
    <row r="41" spans="1:19" x14ac:dyDescent="0.25">
      <c r="A41" s="23"/>
      <c r="B41" s="13" t="s">
        <v>19</v>
      </c>
      <c r="C41" s="15" t="s">
        <v>48</v>
      </c>
      <c r="D41" s="15" t="s">
        <v>48</v>
      </c>
      <c r="E41" s="15" t="s">
        <v>48</v>
      </c>
      <c r="F41" s="15" t="s">
        <v>25</v>
      </c>
      <c r="G41" s="15" t="s">
        <v>25</v>
      </c>
      <c r="H41" s="15" t="s">
        <v>25</v>
      </c>
      <c r="I41" s="21"/>
      <c r="K41" s="23"/>
      <c r="L41" s="13" t="s">
        <v>19</v>
      </c>
      <c r="M41" s="14">
        <v>0</v>
      </c>
      <c r="N41" s="14">
        <v>0</v>
      </c>
      <c r="O41" s="14">
        <v>4</v>
      </c>
      <c r="P41" s="15" t="s">
        <v>25</v>
      </c>
      <c r="Q41" s="15" t="s">
        <v>25</v>
      </c>
      <c r="R41" s="15" t="s">
        <v>25</v>
      </c>
      <c r="S41" s="21"/>
    </row>
    <row r="42" spans="1:19" x14ac:dyDescent="0.25">
      <c r="A42" s="23"/>
      <c r="B42" s="13" t="s">
        <v>20</v>
      </c>
      <c r="C42" s="14">
        <v>0</v>
      </c>
      <c r="D42" s="14">
        <v>1</v>
      </c>
      <c r="E42" s="14">
        <v>0</v>
      </c>
      <c r="F42" s="14">
        <f t="shared" ref="F42:F48" si="26">IFERROR(C42/(C42+E42), 0)</f>
        <v>0</v>
      </c>
      <c r="G42" s="14">
        <f t="shared" ref="G42:G48" si="27">IFERROR(C42/(C42+D42), 0)</f>
        <v>0</v>
      </c>
      <c r="H42" s="14">
        <f t="shared" ref="H42:H48" si="28">IFERROR(2*(F42*G42)/(F42+G42), 0)</f>
        <v>0</v>
      </c>
      <c r="I42" s="21"/>
      <c r="K42" s="23"/>
      <c r="L42" s="13" t="s">
        <v>20</v>
      </c>
      <c r="M42" s="14">
        <v>0</v>
      </c>
      <c r="N42" s="14">
        <v>1</v>
      </c>
      <c r="O42" s="14">
        <v>0</v>
      </c>
      <c r="P42" s="14">
        <f t="shared" ref="P42:P46" si="29">IFERROR(M42/(M42+O42), 0)</f>
        <v>0</v>
      </c>
      <c r="Q42" s="14">
        <f t="shared" ref="Q42:Q46" si="30">IFERROR(M42/(M42+N42), 0)</f>
        <v>0</v>
      </c>
      <c r="R42" s="14">
        <f t="shared" ref="R42:R46" si="31">IFERROR(2*(P42*Q42)/(P42+Q42), 0)</f>
        <v>0</v>
      </c>
      <c r="S42" s="21"/>
    </row>
    <row r="43" spans="1:19" x14ac:dyDescent="0.25">
      <c r="A43" s="24"/>
      <c r="B43" s="13" t="s">
        <v>21</v>
      </c>
      <c r="C43" s="14">
        <f t="shared" ref="C43:E43" si="32">SUM(C36:C42)</f>
        <v>29</v>
      </c>
      <c r="D43" s="14">
        <f t="shared" si="32"/>
        <v>30</v>
      </c>
      <c r="E43" s="14">
        <f t="shared" si="32"/>
        <v>17</v>
      </c>
      <c r="F43" s="14">
        <f t="shared" si="26"/>
        <v>0.63043478260869568</v>
      </c>
      <c r="G43" s="14">
        <f t="shared" si="27"/>
        <v>0.49152542372881358</v>
      </c>
      <c r="H43" s="14">
        <f t="shared" si="28"/>
        <v>0.55238095238095242</v>
      </c>
      <c r="I43" s="21"/>
      <c r="K43" s="24"/>
      <c r="L43" s="13" t="s">
        <v>21</v>
      </c>
      <c r="M43" s="14">
        <f t="shared" ref="M43:O43" si="33">SUM(M36:M42)</f>
        <v>12</v>
      </c>
      <c r="N43" s="14">
        <f t="shared" si="33"/>
        <v>47</v>
      </c>
      <c r="O43" s="14">
        <f t="shared" si="33"/>
        <v>28</v>
      </c>
      <c r="P43" s="14">
        <f t="shared" si="29"/>
        <v>0.3</v>
      </c>
      <c r="Q43" s="14">
        <f t="shared" si="30"/>
        <v>0.20338983050847459</v>
      </c>
      <c r="R43" s="14">
        <f t="shared" si="31"/>
        <v>0.24242424242424246</v>
      </c>
      <c r="S43" s="21"/>
    </row>
    <row r="44" spans="1:19" x14ac:dyDescent="0.25">
      <c r="A44" s="22" t="s">
        <v>61</v>
      </c>
      <c r="B44" s="13" t="s">
        <v>12</v>
      </c>
      <c r="C44" s="14">
        <v>6</v>
      </c>
      <c r="D44" s="14">
        <v>0</v>
      </c>
      <c r="E44" s="14">
        <v>0</v>
      </c>
      <c r="F44" s="14">
        <f t="shared" si="26"/>
        <v>1</v>
      </c>
      <c r="G44" s="14">
        <f t="shared" si="27"/>
        <v>1</v>
      </c>
      <c r="H44" s="14">
        <f t="shared" si="28"/>
        <v>1</v>
      </c>
      <c r="I44" s="25" t="s">
        <v>62</v>
      </c>
      <c r="K44" s="22" t="s">
        <v>61</v>
      </c>
      <c r="L44" s="13" t="s">
        <v>12</v>
      </c>
      <c r="M44" s="14">
        <v>6</v>
      </c>
      <c r="N44" s="14">
        <v>0</v>
      </c>
      <c r="O44" s="14">
        <v>1</v>
      </c>
      <c r="P44" s="14">
        <f t="shared" si="29"/>
        <v>0.8571428571428571</v>
      </c>
      <c r="Q44" s="14">
        <f t="shared" si="30"/>
        <v>1</v>
      </c>
      <c r="R44" s="14">
        <f t="shared" si="31"/>
        <v>0.92307692307692302</v>
      </c>
      <c r="S44" s="25" t="s">
        <v>63</v>
      </c>
    </row>
    <row r="45" spans="1:19" x14ac:dyDescent="0.25">
      <c r="A45" s="23"/>
      <c r="B45" s="13" t="s">
        <v>15</v>
      </c>
      <c r="C45" s="14">
        <v>17</v>
      </c>
      <c r="D45" s="14">
        <v>2</v>
      </c>
      <c r="E45" s="14">
        <v>2</v>
      </c>
      <c r="F45" s="14">
        <f t="shared" si="26"/>
        <v>0.89473684210526316</v>
      </c>
      <c r="G45" s="14">
        <f t="shared" si="27"/>
        <v>0.89473684210526316</v>
      </c>
      <c r="H45" s="14">
        <f t="shared" si="28"/>
        <v>0.89473684210526316</v>
      </c>
      <c r="I45" s="21"/>
      <c r="K45" s="23"/>
      <c r="L45" s="13" t="s">
        <v>15</v>
      </c>
      <c r="M45" s="14">
        <v>7</v>
      </c>
      <c r="N45" s="14">
        <v>9</v>
      </c>
      <c r="O45" s="14">
        <v>7</v>
      </c>
      <c r="P45" s="14">
        <f t="shared" si="29"/>
        <v>0.5</v>
      </c>
      <c r="Q45" s="14">
        <f t="shared" si="30"/>
        <v>0.4375</v>
      </c>
      <c r="R45" s="14">
        <f t="shared" si="31"/>
        <v>0.46666666666666667</v>
      </c>
      <c r="S45" s="21"/>
    </row>
    <row r="46" spans="1:19" x14ac:dyDescent="0.25">
      <c r="A46" s="23"/>
      <c r="B46" s="13" t="s">
        <v>16</v>
      </c>
      <c r="C46" s="14">
        <v>6</v>
      </c>
      <c r="D46" s="14">
        <v>0</v>
      </c>
      <c r="E46" s="14">
        <v>0</v>
      </c>
      <c r="F46" s="14">
        <f t="shared" si="26"/>
        <v>1</v>
      </c>
      <c r="G46" s="14">
        <f t="shared" si="27"/>
        <v>1</v>
      </c>
      <c r="H46" s="14">
        <f t="shared" si="28"/>
        <v>1</v>
      </c>
      <c r="I46" s="21"/>
      <c r="K46" s="23"/>
      <c r="L46" s="13" t="s">
        <v>16</v>
      </c>
      <c r="M46" s="14">
        <v>2</v>
      </c>
      <c r="N46" s="14">
        <v>4</v>
      </c>
      <c r="O46" s="14">
        <v>1</v>
      </c>
      <c r="P46" s="14">
        <f t="shared" si="29"/>
        <v>0.66666666666666663</v>
      </c>
      <c r="Q46" s="14">
        <f t="shared" si="30"/>
        <v>0.33333333333333331</v>
      </c>
      <c r="R46" s="14">
        <f t="shared" si="31"/>
        <v>0.44444444444444442</v>
      </c>
      <c r="S46" s="21"/>
    </row>
    <row r="47" spans="1:19" x14ac:dyDescent="0.25">
      <c r="A47" s="23"/>
      <c r="B47" s="13" t="s">
        <v>17</v>
      </c>
      <c r="C47" s="14">
        <v>9</v>
      </c>
      <c r="D47" s="14">
        <v>4</v>
      </c>
      <c r="E47" s="14">
        <v>3</v>
      </c>
      <c r="F47" s="14">
        <f t="shared" si="26"/>
        <v>0.75</v>
      </c>
      <c r="G47" s="14">
        <f t="shared" si="27"/>
        <v>0.69230769230769229</v>
      </c>
      <c r="H47" s="14">
        <f t="shared" si="28"/>
        <v>0.71999999999999986</v>
      </c>
      <c r="I47" s="21"/>
      <c r="K47" s="23"/>
      <c r="L47" s="13" t="s">
        <v>17</v>
      </c>
      <c r="M47" s="15" t="s">
        <v>64</v>
      </c>
      <c r="N47" s="15" t="s">
        <v>64</v>
      </c>
      <c r="O47" s="15" t="s">
        <v>64</v>
      </c>
      <c r="P47" s="15" t="s">
        <v>64</v>
      </c>
      <c r="Q47" s="15" t="s">
        <v>64</v>
      </c>
      <c r="R47" s="15" t="s">
        <v>64</v>
      </c>
      <c r="S47" s="21"/>
    </row>
    <row r="48" spans="1:19" x14ac:dyDescent="0.25">
      <c r="A48" s="23"/>
      <c r="B48" s="13" t="s">
        <v>18</v>
      </c>
      <c r="C48" s="14">
        <v>3</v>
      </c>
      <c r="D48" s="14">
        <v>0</v>
      </c>
      <c r="E48" s="14">
        <v>1</v>
      </c>
      <c r="F48" s="14">
        <f t="shared" si="26"/>
        <v>0.75</v>
      </c>
      <c r="G48" s="14">
        <f t="shared" si="27"/>
        <v>1</v>
      </c>
      <c r="H48" s="14">
        <f t="shared" si="28"/>
        <v>0.8571428571428571</v>
      </c>
      <c r="I48" s="21"/>
      <c r="K48" s="23"/>
      <c r="L48" s="13" t="s">
        <v>18</v>
      </c>
      <c r="M48" s="14">
        <v>2</v>
      </c>
      <c r="N48" s="14">
        <v>0</v>
      </c>
      <c r="O48" s="14">
        <v>2</v>
      </c>
      <c r="P48" s="14">
        <f>IFERROR(M48/(M48+O48), 0)</f>
        <v>0.5</v>
      </c>
      <c r="Q48" s="14">
        <f>IFERROR(M48/(M48+N48), 0)</f>
        <v>1</v>
      </c>
      <c r="R48" s="14">
        <f>IFERROR(2*(P48*Q48)/(P48+Q48), 0)</f>
        <v>0.66666666666666663</v>
      </c>
      <c r="S48" s="21"/>
    </row>
    <row r="49" spans="1:19" x14ac:dyDescent="0.25">
      <c r="A49" s="23"/>
      <c r="B49" s="13" t="s">
        <v>19</v>
      </c>
      <c r="C49" s="15" t="s">
        <v>48</v>
      </c>
      <c r="D49" s="15" t="s">
        <v>48</v>
      </c>
      <c r="E49" s="15" t="s">
        <v>48</v>
      </c>
      <c r="F49" s="15" t="s">
        <v>25</v>
      </c>
      <c r="G49" s="15" t="s">
        <v>25</v>
      </c>
      <c r="H49" s="15" t="s">
        <v>25</v>
      </c>
      <c r="I49" s="21"/>
      <c r="K49" s="23"/>
      <c r="L49" s="13" t="s">
        <v>19</v>
      </c>
      <c r="M49" s="15" t="s">
        <v>25</v>
      </c>
      <c r="N49" s="15" t="s">
        <v>25</v>
      </c>
      <c r="O49" s="15" t="s">
        <v>25</v>
      </c>
      <c r="P49" s="15" t="s">
        <v>25</v>
      </c>
      <c r="Q49" s="15" t="s">
        <v>25</v>
      </c>
      <c r="R49" s="15" t="s">
        <v>25</v>
      </c>
      <c r="S49" s="21"/>
    </row>
    <row r="50" spans="1:19" x14ac:dyDescent="0.25">
      <c r="A50" s="23"/>
      <c r="B50" s="13" t="s">
        <v>20</v>
      </c>
      <c r="C50" s="14">
        <v>0</v>
      </c>
      <c r="D50" s="14">
        <v>1</v>
      </c>
      <c r="E50" s="14">
        <v>0</v>
      </c>
      <c r="F50" s="14">
        <f t="shared" ref="F50:F56" si="34">IFERROR(C50/(C50+E50), 0)</f>
        <v>0</v>
      </c>
      <c r="G50" s="14">
        <f t="shared" ref="G50:G56" si="35">IFERROR(C50/(C50+D50), 0)</f>
        <v>0</v>
      </c>
      <c r="H50" s="14">
        <f t="shared" ref="H50:H56" si="36">IFERROR(2*(F50*G50)/(F50+G50), 0)</f>
        <v>0</v>
      </c>
      <c r="I50" s="21"/>
      <c r="K50" s="23"/>
      <c r="L50" s="13" t="s">
        <v>20</v>
      </c>
      <c r="M50" s="14">
        <v>0</v>
      </c>
      <c r="N50" s="14">
        <v>1</v>
      </c>
      <c r="O50" s="14">
        <v>0</v>
      </c>
      <c r="P50" s="14">
        <f t="shared" ref="P50:P56" si="37">IFERROR(M50/(M50+O50), 0)</f>
        <v>0</v>
      </c>
      <c r="Q50" s="14">
        <f t="shared" ref="Q50:Q56" si="38">IFERROR(M50/(M50+N50), 0)</f>
        <v>0</v>
      </c>
      <c r="R50" s="14">
        <f t="shared" ref="R50:R56" si="39">IFERROR(2*(P50*Q50)/(P50+Q50), 0)</f>
        <v>0</v>
      </c>
      <c r="S50" s="21"/>
    </row>
    <row r="51" spans="1:19" x14ac:dyDescent="0.25">
      <c r="A51" s="24"/>
      <c r="B51" s="13" t="s">
        <v>21</v>
      </c>
      <c r="C51" s="14">
        <f t="shared" ref="C51:E51" si="40">SUM(C44:C50)</f>
        <v>41</v>
      </c>
      <c r="D51" s="14">
        <f t="shared" si="40"/>
        <v>7</v>
      </c>
      <c r="E51" s="14">
        <f t="shared" si="40"/>
        <v>6</v>
      </c>
      <c r="F51" s="14">
        <f t="shared" si="34"/>
        <v>0.87234042553191493</v>
      </c>
      <c r="G51" s="14">
        <f t="shared" si="35"/>
        <v>0.85416666666666663</v>
      </c>
      <c r="H51" s="14">
        <f t="shared" si="36"/>
        <v>0.86315789473684212</v>
      </c>
      <c r="I51" s="21"/>
      <c r="K51" s="24"/>
      <c r="L51" s="13" t="s">
        <v>21</v>
      </c>
      <c r="M51" s="14">
        <f t="shared" ref="M51:O51" si="41">SUM(M44:M50)</f>
        <v>17</v>
      </c>
      <c r="N51" s="14">
        <f t="shared" si="41"/>
        <v>14</v>
      </c>
      <c r="O51" s="14">
        <f t="shared" si="41"/>
        <v>11</v>
      </c>
      <c r="P51" s="14">
        <f t="shared" si="37"/>
        <v>0.6071428571428571</v>
      </c>
      <c r="Q51" s="14">
        <f t="shared" si="38"/>
        <v>0.54838709677419351</v>
      </c>
      <c r="R51" s="14">
        <f t="shared" si="39"/>
        <v>0.57627118644067787</v>
      </c>
      <c r="S51" s="21"/>
    </row>
    <row r="52" spans="1:19" x14ac:dyDescent="0.25">
      <c r="A52" s="22" t="s">
        <v>65</v>
      </c>
      <c r="B52" s="13" t="s">
        <v>12</v>
      </c>
      <c r="C52" s="14">
        <v>6</v>
      </c>
      <c r="D52" s="14">
        <v>3</v>
      </c>
      <c r="E52" s="14">
        <v>3</v>
      </c>
      <c r="F52" s="14">
        <f t="shared" si="34"/>
        <v>0.66666666666666663</v>
      </c>
      <c r="G52" s="14">
        <f t="shared" si="35"/>
        <v>0.66666666666666663</v>
      </c>
      <c r="H52" s="14">
        <f t="shared" si="36"/>
        <v>0.66666666666666663</v>
      </c>
      <c r="I52" s="25" t="s">
        <v>66</v>
      </c>
      <c r="K52" s="22" t="s">
        <v>65</v>
      </c>
      <c r="L52" s="13" t="s">
        <v>12</v>
      </c>
      <c r="M52" s="14">
        <v>7</v>
      </c>
      <c r="N52" s="14">
        <v>2</v>
      </c>
      <c r="O52" s="14">
        <v>2</v>
      </c>
      <c r="P52" s="14">
        <f t="shared" si="37"/>
        <v>0.77777777777777779</v>
      </c>
      <c r="Q52" s="14">
        <f t="shared" si="38"/>
        <v>0.77777777777777779</v>
      </c>
      <c r="R52" s="14">
        <f t="shared" si="39"/>
        <v>0.77777777777777779</v>
      </c>
      <c r="S52" s="25" t="s">
        <v>67</v>
      </c>
    </row>
    <row r="53" spans="1:19" x14ac:dyDescent="0.25">
      <c r="A53" s="23"/>
      <c r="B53" s="13" t="s">
        <v>15</v>
      </c>
      <c r="C53" s="14">
        <v>8</v>
      </c>
      <c r="D53" s="14">
        <v>3</v>
      </c>
      <c r="E53" s="14">
        <v>10</v>
      </c>
      <c r="F53" s="14">
        <f t="shared" si="34"/>
        <v>0.44444444444444442</v>
      </c>
      <c r="G53" s="14">
        <f t="shared" si="35"/>
        <v>0.72727272727272729</v>
      </c>
      <c r="H53" s="14">
        <f t="shared" si="36"/>
        <v>0.55172413793103448</v>
      </c>
      <c r="I53" s="21"/>
      <c r="K53" s="23"/>
      <c r="L53" s="13" t="s">
        <v>15</v>
      </c>
      <c r="M53" s="14">
        <v>9</v>
      </c>
      <c r="N53" s="14">
        <v>5</v>
      </c>
      <c r="O53" s="14">
        <v>1</v>
      </c>
      <c r="P53" s="14">
        <f t="shared" si="37"/>
        <v>0.9</v>
      </c>
      <c r="Q53" s="14">
        <f t="shared" si="38"/>
        <v>0.6428571428571429</v>
      </c>
      <c r="R53" s="14">
        <f t="shared" si="39"/>
        <v>0.75</v>
      </c>
      <c r="S53" s="21"/>
    </row>
    <row r="54" spans="1:19" x14ac:dyDescent="0.25">
      <c r="A54" s="23"/>
      <c r="B54" s="13" t="s">
        <v>16</v>
      </c>
      <c r="C54" s="14">
        <v>0</v>
      </c>
      <c r="D54" s="15" t="s">
        <v>48</v>
      </c>
      <c r="E54" s="15" t="s">
        <v>48</v>
      </c>
      <c r="F54" s="14">
        <f t="shared" si="34"/>
        <v>0</v>
      </c>
      <c r="G54" s="14">
        <f t="shared" si="35"/>
        <v>0</v>
      </c>
      <c r="H54" s="14">
        <f t="shared" si="36"/>
        <v>0</v>
      </c>
      <c r="I54" s="21"/>
      <c r="K54" s="23"/>
      <c r="L54" s="13" t="s">
        <v>16</v>
      </c>
      <c r="M54" s="14">
        <v>2</v>
      </c>
      <c r="N54" s="14">
        <v>0</v>
      </c>
      <c r="O54" s="14">
        <v>5</v>
      </c>
      <c r="P54" s="14">
        <f t="shared" si="37"/>
        <v>0.2857142857142857</v>
      </c>
      <c r="Q54" s="14">
        <f t="shared" si="38"/>
        <v>1</v>
      </c>
      <c r="R54" s="14">
        <f t="shared" si="39"/>
        <v>0.44444444444444448</v>
      </c>
      <c r="S54" s="21"/>
    </row>
    <row r="55" spans="1:19" x14ac:dyDescent="0.25">
      <c r="A55" s="23"/>
      <c r="B55" s="13" t="s">
        <v>17</v>
      </c>
      <c r="C55" s="14">
        <v>0</v>
      </c>
      <c r="D55" s="15" t="s">
        <v>48</v>
      </c>
      <c r="E55" s="15" t="s">
        <v>48</v>
      </c>
      <c r="F55" s="14">
        <f t="shared" si="34"/>
        <v>0</v>
      </c>
      <c r="G55" s="14">
        <f t="shared" si="35"/>
        <v>0</v>
      </c>
      <c r="H55" s="14">
        <f t="shared" si="36"/>
        <v>0</v>
      </c>
      <c r="I55" s="21"/>
      <c r="K55" s="23"/>
      <c r="L55" s="13" t="s">
        <v>17</v>
      </c>
      <c r="M55" s="14">
        <v>5</v>
      </c>
      <c r="N55" s="14">
        <v>3</v>
      </c>
      <c r="O55" s="14">
        <v>6</v>
      </c>
      <c r="P55" s="14">
        <f t="shared" si="37"/>
        <v>0.45454545454545453</v>
      </c>
      <c r="Q55" s="14">
        <f t="shared" si="38"/>
        <v>0.625</v>
      </c>
      <c r="R55" s="14">
        <f t="shared" si="39"/>
        <v>0.52631578947368418</v>
      </c>
      <c r="S55" s="21"/>
    </row>
    <row r="56" spans="1:19" x14ac:dyDescent="0.25">
      <c r="A56" s="23"/>
      <c r="B56" s="13" t="s">
        <v>18</v>
      </c>
      <c r="C56" s="14">
        <v>3</v>
      </c>
      <c r="D56" s="14">
        <v>1</v>
      </c>
      <c r="E56" s="14">
        <v>0</v>
      </c>
      <c r="F56" s="14">
        <f t="shared" si="34"/>
        <v>1</v>
      </c>
      <c r="G56" s="14">
        <f t="shared" si="35"/>
        <v>0.75</v>
      </c>
      <c r="H56" s="14">
        <f t="shared" si="36"/>
        <v>0.8571428571428571</v>
      </c>
      <c r="I56" s="21"/>
      <c r="K56" s="23"/>
      <c r="L56" s="13" t="s">
        <v>18</v>
      </c>
      <c r="M56" s="14">
        <v>3</v>
      </c>
      <c r="N56" s="14">
        <v>0</v>
      </c>
      <c r="O56" s="14">
        <v>1</v>
      </c>
      <c r="P56" s="14">
        <f t="shared" si="37"/>
        <v>0.75</v>
      </c>
      <c r="Q56" s="14">
        <f t="shared" si="38"/>
        <v>1</v>
      </c>
      <c r="R56" s="14">
        <f t="shared" si="39"/>
        <v>0.8571428571428571</v>
      </c>
      <c r="S56" s="21"/>
    </row>
    <row r="57" spans="1:19" x14ac:dyDescent="0.25">
      <c r="A57" s="23"/>
      <c r="B57" s="13" t="s">
        <v>19</v>
      </c>
      <c r="C57" s="14">
        <v>0</v>
      </c>
      <c r="D57" s="14">
        <v>0</v>
      </c>
      <c r="E57" s="14">
        <v>0</v>
      </c>
      <c r="F57" s="15" t="s">
        <v>25</v>
      </c>
      <c r="G57" s="15" t="s">
        <v>25</v>
      </c>
      <c r="H57" s="15" t="s">
        <v>25</v>
      </c>
      <c r="I57" s="21"/>
      <c r="K57" s="23"/>
      <c r="L57" s="13" t="s">
        <v>19</v>
      </c>
      <c r="M57" s="15" t="s">
        <v>25</v>
      </c>
      <c r="N57" s="15" t="s">
        <v>25</v>
      </c>
      <c r="O57" s="15" t="s">
        <v>25</v>
      </c>
      <c r="P57" s="15" t="s">
        <v>25</v>
      </c>
      <c r="Q57" s="15" t="s">
        <v>25</v>
      </c>
      <c r="R57" s="15" t="s">
        <v>25</v>
      </c>
      <c r="S57" s="21"/>
    </row>
    <row r="58" spans="1:19" x14ac:dyDescent="0.25">
      <c r="A58" s="23"/>
      <c r="B58" s="13" t="s">
        <v>20</v>
      </c>
      <c r="C58" s="14">
        <v>0</v>
      </c>
      <c r="D58" s="14">
        <v>1</v>
      </c>
      <c r="E58" s="14">
        <v>0</v>
      </c>
      <c r="F58" s="14">
        <f t="shared" ref="F58:F67" si="42">IFERROR(C58/(C58+E58), 0)</f>
        <v>0</v>
      </c>
      <c r="G58" s="14">
        <f t="shared" ref="G58:G67" si="43">IFERROR(C58/(C58+D58), 0)</f>
        <v>0</v>
      </c>
      <c r="H58" s="14">
        <f t="shared" ref="H58:H67" si="44">IFERROR(2*(F58*G58)/(F58+G58), 0)</f>
        <v>0</v>
      </c>
      <c r="I58" s="21"/>
      <c r="K58" s="23"/>
      <c r="L58" s="13" t="s">
        <v>20</v>
      </c>
      <c r="M58" s="14">
        <v>0</v>
      </c>
      <c r="N58" s="14">
        <v>1</v>
      </c>
      <c r="O58" s="14">
        <v>0</v>
      </c>
      <c r="P58" s="14">
        <f t="shared" ref="P58:P67" si="45">IFERROR(M58/(M58+O58), 0)</f>
        <v>0</v>
      </c>
      <c r="Q58" s="14">
        <f t="shared" ref="Q58:Q67" si="46">IFERROR(M58/(M58+N58), 0)</f>
        <v>0</v>
      </c>
      <c r="R58" s="14">
        <f t="shared" ref="R58:R67" si="47">IFERROR(2*(P58*Q58)/(P58+Q58), 0)</f>
        <v>0</v>
      </c>
      <c r="S58" s="21"/>
    </row>
    <row r="59" spans="1:19" x14ac:dyDescent="0.25">
      <c r="A59" s="24"/>
      <c r="B59" s="13" t="s">
        <v>21</v>
      </c>
      <c r="C59" s="14">
        <f t="shared" ref="C59:E59" si="48">SUM(C52:C58)</f>
        <v>17</v>
      </c>
      <c r="D59" s="14">
        <f t="shared" si="48"/>
        <v>8</v>
      </c>
      <c r="E59" s="14">
        <f t="shared" si="48"/>
        <v>13</v>
      </c>
      <c r="F59" s="14">
        <f t="shared" si="42"/>
        <v>0.56666666666666665</v>
      </c>
      <c r="G59" s="14">
        <f t="shared" si="43"/>
        <v>0.68</v>
      </c>
      <c r="H59" s="14">
        <f t="shared" si="44"/>
        <v>0.61818181818181828</v>
      </c>
      <c r="I59" s="21"/>
      <c r="K59" s="24"/>
      <c r="L59" s="13" t="s">
        <v>21</v>
      </c>
      <c r="M59" s="14">
        <f t="shared" ref="M59:O59" si="49">SUM(M52:M58)</f>
        <v>26</v>
      </c>
      <c r="N59" s="14">
        <f t="shared" si="49"/>
        <v>11</v>
      </c>
      <c r="O59" s="14">
        <f t="shared" si="49"/>
        <v>15</v>
      </c>
      <c r="P59" s="14">
        <f t="shared" si="45"/>
        <v>0.63414634146341464</v>
      </c>
      <c r="Q59" s="14">
        <f t="shared" si="46"/>
        <v>0.70270270270270274</v>
      </c>
      <c r="R59" s="14">
        <f t="shared" si="47"/>
        <v>0.66666666666666674</v>
      </c>
      <c r="S59" s="21"/>
    </row>
    <row r="60" spans="1:19" x14ac:dyDescent="0.25">
      <c r="A60" s="22" t="s">
        <v>68</v>
      </c>
      <c r="B60" s="13" t="s">
        <v>12</v>
      </c>
      <c r="C60" s="14">
        <v>1</v>
      </c>
      <c r="D60" s="14">
        <v>15</v>
      </c>
      <c r="E60" s="14">
        <v>3</v>
      </c>
      <c r="F60" s="14">
        <f t="shared" si="42"/>
        <v>0.25</v>
      </c>
      <c r="G60" s="14">
        <f t="shared" si="43"/>
        <v>6.25E-2</v>
      </c>
      <c r="H60" s="14">
        <f t="shared" si="44"/>
        <v>0.1</v>
      </c>
      <c r="I60" s="25" t="s">
        <v>69</v>
      </c>
      <c r="K60" s="22" t="s">
        <v>68</v>
      </c>
      <c r="L60" s="13" t="s">
        <v>12</v>
      </c>
      <c r="M60" s="14">
        <v>12</v>
      </c>
      <c r="N60" s="14">
        <v>5</v>
      </c>
      <c r="O60" s="14">
        <v>4</v>
      </c>
      <c r="P60" s="14">
        <f t="shared" si="45"/>
        <v>0.75</v>
      </c>
      <c r="Q60" s="14">
        <f t="shared" si="46"/>
        <v>0.70588235294117652</v>
      </c>
      <c r="R60" s="14">
        <f t="shared" si="47"/>
        <v>0.72727272727272718</v>
      </c>
      <c r="S60" s="25" t="s">
        <v>70</v>
      </c>
    </row>
    <row r="61" spans="1:19" x14ac:dyDescent="0.25">
      <c r="A61" s="23"/>
      <c r="B61" s="13" t="s">
        <v>15</v>
      </c>
      <c r="C61" s="14">
        <v>0</v>
      </c>
      <c r="D61" s="15" t="s">
        <v>48</v>
      </c>
      <c r="E61" s="15" t="s">
        <v>48</v>
      </c>
      <c r="F61" s="14">
        <f t="shared" si="42"/>
        <v>0</v>
      </c>
      <c r="G61" s="14">
        <f t="shared" si="43"/>
        <v>0</v>
      </c>
      <c r="H61" s="14">
        <f t="shared" si="44"/>
        <v>0</v>
      </c>
      <c r="I61" s="21"/>
      <c r="K61" s="23"/>
      <c r="L61" s="13" t="s">
        <v>15</v>
      </c>
      <c r="M61" s="14">
        <v>10</v>
      </c>
      <c r="N61" s="14">
        <v>29</v>
      </c>
      <c r="O61" s="14">
        <v>8</v>
      </c>
      <c r="P61" s="14">
        <f t="shared" si="45"/>
        <v>0.55555555555555558</v>
      </c>
      <c r="Q61" s="14">
        <f t="shared" si="46"/>
        <v>0.25641025641025639</v>
      </c>
      <c r="R61" s="14">
        <f t="shared" si="47"/>
        <v>0.35087719298245612</v>
      </c>
      <c r="S61" s="21"/>
    </row>
    <row r="62" spans="1:19" x14ac:dyDescent="0.25">
      <c r="A62" s="23"/>
      <c r="B62" s="13" t="s">
        <v>16</v>
      </c>
      <c r="C62" s="14">
        <v>0</v>
      </c>
      <c r="D62" s="15" t="s">
        <v>48</v>
      </c>
      <c r="E62" s="15" t="s">
        <v>48</v>
      </c>
      <c r="F62" s="14">
        <f t="shared" si="42"/>
        <v>0</v>
      </c>
      <c r="G62" s="14">
        <f t="shared" si="43"/>
        <v>0</v>
      </c>
      <c r="H62" s="14">
        <f t="shared" si="44"/>
        <v>0</v>
      </c>
      <c r="I62" s="21"/>
      <c r="K62" s="23"/>
      <c r="L62" s="13" t="s">
        <v>16</v>
      </c>
      <c r="M62" s="14">
        <v>0</v>
      </c>
      <c r="N62" s="14">
        <v>5</v>
      </c>
      <c r="O62" s="14">
        <v>8</v>
      </c>
      <c r="P62" s="14">
        <f t="shared" si="45"/>
        <v>0</v>
      </c>
      <c r="Q62" s="14">
        <f t="shared" si="46"/>
        <v>0</v>
      </c>
      <c r="R62" s="14">
        <f t="shared" si="47"/>
        <v>0</v>
      </c>
      <c r="S62" s="21"/>
    </row>
    <row r="63" spans="1:19" x14ac:dyDescent="0.25">
      <c r="A63" s="23"/>
      <c r="B63" s="13" t="s">
        <v>17</v>
      </c>
      <c r="C63" s="14">
        <v>0</v>
      </c>
      <c r="D63" s="15" t="s">
        <v>48</v>
      </c>
      <c r="E63" s="15" t="s">
        <v>48</v>
      </c>
      <c r="F63" s="14">
        <f t="shared" si="42"/>
        <v>0</v>
      </c>
      <c r="G63" s="14">
        <f t="shared" si="43"/>
        <v>0</v>
      </c>
      <c r="H63" s="14">
        <f t="shared" si="44"/>
        <v>0</v>
      </c>
      <c r="I63" s="21"/>
      <c r="K63" s="23"/>
      <c r="L63" s="13" t="s">
        <v>17</v>
      </c>
      <c r="M63" s="14">
        <v>3</v>
      </c>
      <c r="N63" s="14">
        <v>22</v>
      </c>
      <c r="O63" s="14">
        <v>15</v>
      </c>
      <c r="P63" s="14">
        <f t="shared" si="45"/>
        <v>0.16666666666666666</v>
      </c>
      <c r="Q63" s="14">
        <f t="shared" si="46"/>
        <v>0.12</v>
      </c>
      <c r="R63" s="14">
        <f t="shared" si="47"/>
        <v>0.13953488372093023</v>
      </c>
      <c r="S63" s="21"/>
    </row>
    <row r="64" spans="1:19" x14ac:dyDescent="0.25">
      <c r="A64" s="23"/>
      <c r="B64" s="13" t="s">
        <v>18</v>
      </c>
      <c r="C64" s="14">
        <v>4</v>
      </c>
      <c r="D64" s="14">
        <v>1</v>
      </c>
      <c r="E64" s="14">
        <v>0</v>
      </c>
      <c r="F64" s="14">
        <f t="shared" si="42"/>
        <v>1</v>
      </c>
      <c r="G64" s="14">
        <f t="shared" si="43"/>
        <v>0.8</v>
      </c>
      <c r="H64" s="14">
        <f t="shared" si="44"/>
        <v>0.88888888888888895</v>
      </c>
      <c r="I64" s="21"/>
      <c r="K64" s="23"/>
      <c r="L64" s="13" t="s">
        <v>18</v>
      </c>
      <c r="M64" s="14">
        <v>1</v>
      </c>
      <c r="N64" s="14">
        <v>3</v>
      </c>
      <c r="O64" s="14">
        <v>1</v>
      </c>
      <c r="P64" s="14">
        <f t="shared" si="45"/>
        <v>0.5</v>
      </c>
      <c r="Q64" s="14">
        <f t="shared" si="46"/>
        <v>0.25</v>
      </c>
      <c r="R64" s="14">
        <f t="shared" si="47"/>
        <v>0.33333333333333331</v>
      </c>
      <c r="S64" s="21"/>
    </row>
    <row r="65" spans="1:19" x14ac:dyDescent="0.25">
      <c r="A65" s="23"/>
      <c r="B65" s="13" t="s">
        <v>19</v>
      </c>
      <c r="C65" s="14">
        <v>0</v>
      </c>
      <c r="D65" s="15" t="s">
        <v>48</v>
      </c>
      <c r="E65" s="15" t="s">
        <v>48</v>
      </c>
      <c r="F65" s="14">
        <f t="shared" si="42"/>
        <v>0</v>
      </c>
      <c r="G65" s="14">
        <f t="shared" si="43"/>
        <v>0</v>
      </c>
      <c r="H65" s="14">
        <f t="shared" si="44"/>
        <v>0</v>
      </c>
      <c r="I65" s="21"/>
      <c r="K65" s="23"/>
      <c r="L65" s="13" t="s">
        <v>19</v>
      </c>
      <c r="M65" s="14">
        <v>2</v>
      </c>
      <c r="N65" s="14">
        <v>0</v>
      </c>
      <c r="O65" s="14">
        <v>2</v>
      </c>
      <c r="P65" s="14">
        <f t="shared" si="45"/>
        <v>0.5</v>
      </c>
      <c r="Q65" s="14">
        <f t="shared" si="46"/>
        <v>1</v>
      </c>
      <c r="R65" s="14">
        <f t="shared" si="47"/>
        <v>0.66666666666666663</v>
      </c>
      <c r="S65" s="21"/>
    </row>
    <row r="66" spans="1:19" x14ac:dyDescent="0.25">
      <c r="A66" s="23"/>
      <c r="B66" s="13" t="s">
        <v>20</v>
      </c>
      <c r="C66" s="14">
        <v>0</v>
      </c>
      <c r="D66" s="15" t="s">
        <v>48</v>
      </c>
      <c r="E66" s="15" t="s">
        <v>48</v>
      </c>
      <c r="F66" s="14">
        <f t="shared" si="42"/>
        <v>0</v>
      </c>
      <c r="G66" s="14">
        <f t="shared" si="43"/>
        <v>0</v>
      </c>
      <c r="H66" s="14">
        <f t="shared" si="44"/>
        <v>0</v>
      </c>
      <c r="I66" s="21"/>
      <c r="K66" s="23"/>
      <c r="L66" s="13" t="s">
        <v>20</v>
      </c>
      <c r="M66" s="14">
        <v>1</v>
      </c>
      <c r="N66" s="14">
        <v>0</v>
      </c>
      <c r="O66" s="14">
        <v>0</v>
      </c>
      <c r="P66" s="14">
        <f t="shared" si="45"/>
        <v>1</v>
      </c>
      <c r="Q66" s="14">
        <f t="shared" si="46"/>
        <v>1</v>
      </c>
      <c r="R66" s="14">
        <f t="shared" si="47"/>
        <v>1</v>
      </c>
      <c r="S66" s="21"/>
    </row>
    <row r="67" spans="1:19" x14ac:dyDescent="0.25">
      <c r="A67" s="24"/>
      <c r="B67" s="13" t="s">
        <v>21</v>
      </c>
      <c r="C67" s="7">
        <f t="shared" ref="C67:E67" si="50">SUM(C60:C66)</f>
        <v>5</v>
      </c>
      <c r="D67" s="7">
        <f t="shared" si="50"/>
        <v>16</v>
      </c>
      <c r="E67" s="7">
        <f t="shared" si="50"/>
        <v>3</v>
      </c>
      <c r="F67" s="14">
        <f t="shared" si="42"/>
        <v>0.625</v>
      </c>
      <c r="G67" s="14">
        <f t="shared" si="43"/>
        <v>0.23809523809523808</v>
      </c>
      <c r="H67" s="14">
        <f t="shared" si="44"/>
        <v>0.34482758620689652</v>
      </c>
      <c r="I67" s="21"/>
      <c r="K67" s="24"/>
      <c r="L67" s="13" t="s">
        <v>21</v>
      </c>
      <c r="M67" s="7">
        <f t="shared" ref="M67:O67" si="51">SUM(M60:M66)</f>
        <v>29</v>
      </c>
      <c r="N67" s="7">
        <f t="shared" si="51"/>
        <v>64</v>
      </c>
      <c r="O67" s="7">
        <f t="shared" si="51"/>
        <v>38</v>
      </c>
      <c r="P67" s="14">
        <f t="shared" si="45"/>
        <v>0.43283582089552236</v>
      </c>
      <c r="Q67" s="14">
        <f t="shared" si="46"/>
        <v>0.31182795698924731</v>
      </c>
      <c r="R67" s="14">
        <f t="shared" si="47"/>
        <v>0.36249999999999999</v>
      </c>
      <c r="S67" s="21"/>
    </row>
  </sheetData>
  <mergeCells count="32">
    <mergeCell ref="I20:I27"/>
    <mergeCell ref="K20:K27"/>
    <mergeCell ref="A28:A35"/>
    <mergeCell ref="K28:K35"/>
    <mergeCell ref="K36:K43"/>
    <mergeCell ref="A36:A43"/>
    <mergeCell ref="A44:A51"/>
    <mergeCell ref="A52:A59"/>
    <mergeCell ref="A60:A67"/>
    <mergeCell ref="A12:A19"/>
    <mergeCell ref="A20:A27"/>
    <mergeCell ref="S60:S67"/>
    <mergeCell ref="I28:I35"/>
    <mergeCell ref="I36:I43"/>
    <mergeCell ref="I44:I51"/>
    <mergeCell ref="K44:K51"/>
    <mergeCell ref="I52:I59"/>
    <mergeCell ref="K52:K59"/>
    <mergeCell ref="I60:I67"/>
    <mergeCell ref="K60:K67"/>
    <mergeCell ref="S20:S27"/>
    <mergeCell ref="S28:S35"/>
    <mergeCell ref="S36:S43"/>
    <mergeCell ref="S44:S51"/>
    <mergeCell ref="S52:S59"/>
    <mergeCell ref="A4:A11"/>
    <mergeCell ref="I4:I11"/>
    <mergeCell ref="K4:K11"/>
    <mergeCell ref="S4:S11"/>
    <mergeCell ref="I12:I19"/>
    <mergeCell ref="K12:K19"/>
    <mergeCell ref="S12:S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S67"/>
  <sheetViews>
    <sheetView workbookViewId="0"/>
  </sheetViews>
  <sheetFormatPr defaultColWidth="12.6640625" defaultRowHeight="15.75" customHeight="1" x14ac:dyDescent="0.25"/>
  <cols>
    <col min="1" max="1" width="19" customWidth="1"/>
    <col min="2" max="2" width="14.77734375" customWidth="1"/>
    <col min="3" max="5" width="3.77734375" customWidth="1"/>
    <col min="6" max="6" width="12.6640625" customWidth="1"/>
    <col min="7" max="8" width="11.6640625" customWidth="1"/>
    <col min="9" max="9" width="64.109375" customWidth="1"/>
    <col min="11" max="11" width="19" customWidth="1"/>
    <col min="12" max="12" width="14.77734375" customWidth="1"/>
    <col min="13" max="15" width="3.77734375" customWidth="1"/>
    <col min="16" max="16" width="12.6640625" customWidth="1"/>
    <col min="17" max="17" width="11.6640625" customWidth="1"/>
    <col min="18" max="18" width="12.6640625" customWidth="1"/>
    <col min="19" max="19" width="60.6640625" customWidth="1"/>
  </cols>
  <sheetData>
    <row r="2" spans="1:19" x14ac:dyDescent="0.25">
      <c r="A2" s="11" t="s">
        <v>0</v>
      </c>
      <c r="K2" s="11" t="s">
        <v>1</v>
      </c>
    </row>
    <row r="3" spans="1:19" x14ac:dyDescent="0.2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44</v>
      </c>
      <c r="K3" s="12" t="s">
        <v>2</v>
      </c>
      <c r="L3" s="12" t="s">
        <v>3</v>
      </c>
      <c r="M3" s="12" t="s">
        <v>4</v>
      </c>
      <c r="N3" s="12" t="s">
        <v>5</v>
      </c>
      <c r="O3" s="12" t="s">
        <v>6</v>
      </c>
      <c r="P3" s="12" t="s">
        <v>7</v>
      </c>
      <c r="Q3" s="12" t="s">
        <v>8</v>
      </c>
      <c r="R3" s="12" t="s">
        <v>9</v>
      </c>
      <c r="S3" s="12" t="s">
        <v>71</v>
      </c>
    </row>
    <row r="4" spans="1:19" x14ac:dyDescent="0.25">
      <c r="A4" s="22" t="s">
        <v>72</v>
      </c>
      <c r="B4" s="13" t="s">
        <v>12</v>
      </c>
      <c r="C4" s="14">
        <v>8</v>
      </c>
      <c r="D4" s="14">
        <v>1</v>
      </c>
      <c r="E4" s="14">
        <v>3</v>
      </c>
      <c r="F4" s="14">
        <f t="shared" ref="F4:F14" si="0">IFERROR(C4/(C4+E4), 0)</f>
        <v>0.72727272727272729</v>
      </c>
      <c r="G4" s="14">
        <f t="shared" ref="G4:G14" si="1">IFERROR(C4/(C4+D4), 0)</f>
        <v>0.88888888888888884</v>
      </c>
      <c r="H4" s="14">
        <f t="shared" ref="H4:H14" si="2">IFERROR(2*(F4*G4)/(F4+G4), 0)</f>
        <v>0.79999999999999993</v>
      </c>
      <c r="I4" s="25" t="s">
        <v>46</v>
      </c>
      <c r="K4" s="22" t="s">
        <v>72</v>
      </c>
      <c r="L4" s="13" t="s">
        <v>12</v>
      </c>
      <c r="M4" s="14">
        <v>8</v>
      </c>
      <c r="N4" s="14">
        <v>1</v>
      </c>
      <c r="O4" s="14">
        <v>3</v>
      </c>
      <c r="P4" s="14">
        <f t="shared" ref="P4:P14" si="3">IFERROR(M4/(M4+O4), 0)</f>
        <v>0.72727272727272729</v>
      </c>
      <c r="Q4" s="14">
        <f t="shared" ref="Q4:Q14" si="4">IFERROR(M4/(M4+N4), 0)</f>
        <v>0.88888888888888884</v>
      </c>
      <c r="R4" s="14">
        <f t="shared" ref="R4:R14" si="5">IFERROR(2*(P4*Q4)/(P4+Q4), 0)</f>
        <v>0.79999999999999993</v>
      </c>
      <c r="S4" s="25" t="s">
        <v>73</v>
      </c>
    </row>
    <row r="5" spans="1:19" x14ac:dyDescent="0.25">
      <c r="A5" s="23"/>
      <c r="B5" s="13" t="s">
        <v>15</v>
      </c>
      <c r="C5" s="14">
        <v>9</v>
      </c>
      <c r="D5" s="14">
        <v>7</v>
      </c>
      <c r="E5" s="14">
        <v>17</v>
      </c>
      <c r="F5" s="14">
        <f t="shared" si="0"/>
        <v>0.34615384615384615</v>
      </c>
      <c r="G5" s="14">
        <f t="shared" si="1"/>
        <v>0.5625</v>
      </c>
      <c r="H5" s="14">
        <f t="shared" si="2"/>
        <v>0.4285714285714286</v>
      </c>
      <c r="I5" s="21"/>
      <c r="K5" s="23"/>
      <c r="L5" s="13" t="s">
        <v>15</v>
      </c>
      <c r="M5" s="14">
        <v>11</v>
      </c>
      <c r="N5" s="14">
        <v>5</v>
      </c>
      <c r="O5" s="14">
        <v>33</v>
      </c>
      <c r="P5" s="14">
        <f t="shared" si="3"/>
        <v>0.25</v>
      </c>
      <c r="Q5" s="14">
        <f t="shared" si="4"/>
        <v>0.6875</v>
      </c>
      <c r="R5" s="14">
        <f t="shared" si="5"/>
        <v>0.36666666666666664</v>
      </c>
      <c r="S5" s="21"/>
    </row>
    <row r="6" spans="1:19" x14ac:dyDescent="0.25">
      <c r="A6" s="23"/>
      <c r="B6" s="13" t="s">
        <v>16</v>
      </c>
      <c r="C6" s="14">
        <v>2</v>
      </c>
      <c r="D6" s="14">
        <v>3</v>
      </c>
      <c r="E6" s="14">
        <v>11</v>
      </c>
      <c r="F6" s="14">
        <f t="shared" si="0"/>
        <v>0.15384615384615385</v>
      </c>
      <c r="G6" s="14">
        <f t="shared" si="1"/>
        <v>0.4</v>
      </c>
      <c r="H6" s="14">
        <f t="shared" si="2"/>
        <v>0.22222222222222221</v>
      </c>
      <c r="I6" s="21"/>
      <c r="K6" s="23"/>
      <c r="L6" s="13" t="s">
        <v>16</v>
      </c>
      <c r="M6" s="14">
        <v>2</v>
      </c>
      <c r="N6" s="14">
        <v>2</v>
      </c>
      <c r="O6" s="14">
        <v>18</v>
      </c>
      <c r="P6" s="14">
        <f t="shared" si="3"/>
        <v>0.1</v>
      </c>
      <c r="Q6" s="14">
        <f t="shared" si="4"/>
        <v>0.5</v>
      </c>
      <c r="R6" s="14">
        <f t="shared" si="5"/>
        <v>0.16666666666666669</v>
      </c>
      <c r="S6" s="21"/>
    </row>
    <row r="7" spans="1:19" x14ac:dyDescent="0.25">
      <c r="A7" s="23"/>
      <c r="B7" s="13" t="s">
        <v>17</v>
      </c>
      <c r="C7" s="14">
        <v>4</v>
      </c>
      <c r="D7" s="14">
        <v>2</v>
      </c>
      <c r="E7" s="14">
        <v>15</v>
      </c>
      <c r="F7" s="14">
        <f t="shared" si="0"/>
        <v>0.21052631578947367</v>
      </c>
      <c r="G7" s="14">
        <f t="shared" si="1"/>
        <v>0.66666666666666663</v>
      </c>
      <c r="H7" s="14">
        <f t="shared" si="2"/>
        <v>0.32</v>
      </c>
      <c r="I7" s="21"/>
      <c r="K7" s="23"/>
      <c r="L7" s="13" t="s">
        <v>17</v>
      </c>
      <c r="M7" s="14">
        <v>3</v>
      </c>
      <c r="N7" s="14">
        <v>4</v>
      </c>
      <c r="O7" s="14">
        <v>11</v>
      </c>
      <c r="P7" s="14">
        <f t="shared" si="3"/>
        <v>0.21428571428571427</v>
      </c>
      <c r="Q7" s="14">
        <f t="shared" si="4"/>
        <v>0.42857142857142855</v>
      </c>
      <c r="R7" s="14">
        <f t="shared" si="5"/>
        <v>0.2857142857142857</v>
      </c>
      <c r="S7" s="21"/>
    </row>
    <row r="8" spans="1:19" x14ac:dyDescent="0.25">
      <c r="A8" s="23"/>
      <c r="B8" s="13" t="s">
        <v>18</v>
      </c>
      <c r="C8" s="14">
        <v>1</v>
      </c>
      <c r="D8" s="14">
        <v>0</v>
      </c>
      <c r="E8" s="14">
        <v>2</v>
      </c>
      <c r="F8" s="14">
        <f t="shared" si="0"/>
        <v>0.33333333333333331</v>
      </c>
      <c r="G8" s="14">
        <f t="shared" si="1"/>
        <v>1</v>
      </c>
      <c r="H8" s="14">
        <f t="shared" si="2"/>
        <v>0.5</v>
      </c>
      <c r="I8" s="21"/>
      <c r="K8" s="23"/>
      <c r="L8" s="13" t="s">
        <v>18</v>
      </c>
      <c r="M8" s="14">
        <v>0</v>
      </c>
      <c r="N8" s="14">
        <v>1</v>
      </c>
      <c r="O8" s="14">
        <v>0</v>
      </c>
      <c r="P8" s="14">
        <f t="shared" si="3"/>
        <v>0</v>
      </c>
      <c r="Q8" s="14">
        <f t="shared" si="4"/>
        <v>0</v>
      </c>
      <c r="R8" s="14">
        <f t="shared" si="5"/>
        <v>0</v>
      </c>
      <c r="S8" s="21"/>
    </row>
    <row r="9" spans="1:19" x14ac:dyDescent="0.25">
      <c r="A9" s="23"/>
      <c r="B9" s="13" t="s">
        <v>19</v>
      </c>
      <c r="C9" s="14">
        <v>0</v>
      </c>
      <c r="D9" s="15" t="s">
        <v>48</v>
      </c>
      <c r="E9" s="15" t="s">
        <v>48</v>
      </c>
      <c r="F9" s="14">
        <f t="shared" si="0"/>
        <v>0</v>
      </c>
      <c r="G9" s="14">
        <f t="shared" si="1"/>
        <v>0</v>
      </c>
      <c r="H9" s="14">
        <f t="shared" si="2"/>
        <v>0</v>
      </c>
      <c r="I9" s="21"/>
      <c r="K9" s="23"/>
      <c r="L9" s="13" t="s">
        <v>19</v>
      </c>
      <c r="M9" s="14">
        <v>2</v>
      </c>
      <c r="N9" s="14">
        <v>0</v>
      </c>
      <c r="O9" s="14">
        <v>1</v>
      </c>
      <c r="P9" s="14">
        <f t="shared" si="3"/>
        <v>0.66666666666666663</v>
      </c>
      <c r="Q9" s="14">
        <f t="shared" si="4"/>
        <v>1</v>
      </c>
      <c r="R9" s="14">
        <f t="shared" si="5"/>
        <v>0.8</v>
      </c>
      <c r="S9" s="21"/>
    </row>
    <row r="10" spans="1:19" x14ac:dyDescent="0.25">
      <c r="A10" s="23"/>
      <c r="B10" s="13" t="s">
        <v>20</v>
      </c>
      <c r="C10" s="14">
        <v>0</v>
      </c>
      <c r="D10" s="15" t="s">
        <v>48</v>
      </c>
      <c r="E10" s="15" t="s">
        <v>48</v>
      </c>
      <c r="F10" s="14">
        <f t="shared" si="0"/>
        <v>0</v>
      </c>
      <c r="G10" s="14">
        <f t="shared" si="1"/>
        <v>0</v>
      </c>
      <c r="H10" s="14">
        <f t="shared" si="2"/>
        <v>0</v>
      </c>
      <c r="I10" s="21"/>
      <c r="K10" s="23"/>
      <c r="L10" s="13" t="s">
        <v>20</v>
      </c>
      <c r="M10" s="14">
        <v>0</v>
      </c>
      <c r="N10" s="14">
        <v>1</v>
      </c>
      <c r="O10" s="14">
        <v>0</v>
      </c>
      <c r="P10" s="14">
        <f t="shared" si="3"/>
        <v>0</v>
      </c>
      <c r="Q10" s="14">
        <f t="shared" si="4"/>
        <v>0</v>
      </c>
      <c r="R10" s="14">
        <f t="shared" si="5"/>
        <v>0</v>
      </c>
      <c r="S10" s="21"/>
    </row>
    <row r="11" spans="1:19" x14ac:dyDescent="0.25">
      <c r="A11" s="24"/>
      <c r="B11" s="13" t="s">
        <v>21</v>
      </c>
      <c r="C11" s="14">
        <f t="shared" ref="C11:E11" si="6">SUM(C4:C10)</f>
        <v>24</v>
      </c>
      <c r="D11" s="14">
        <f t="shared" si="6"/>
        <v>13</v>
      </c>
      <c r="E11" s="14">
        <f t="shared" si="6"/>
        <v>48</v>
      </c>
      <c r="F11" s="14">
        <f t="shared" si="0"/>
        <v>0.33333333333333331</v>
      </c>
      <c r="G11" s="14">
        <f t="shared" si="1"/>
        <v>0.64864864864864868</v>
      </c>
      <c r="H11" s="14">
        <f t="shared" si="2"/>
        <v>0.44036697247706424</v>
      </c>
      <c r="I11" s="21"/>
      <c r="K11" s="24"/>
      <c r="L11" s="13" t="s">
        <v>21</v>
      </c>
      <c r="M11" s="14">
        <f t="shared" ref="M11:O11" si="7">SUM(M4:M10)</f>
        <v>26</v>
      </c>
      <c r="N11" s="14">
        <f t="shared" si="7"/>
        <v>14</v>
      </c>
      <c r="O11" s="14">
        <f t="shared" si="7"/>
        <v>66</v>
      </c>
      <c r="P11" s="14">
        <f t="shared" si="3"/>
        <v>0.28260869565217389</v>
      </c>
      <c r="Q11" s="14">
        <f t="shared" si="4"/>
        <v>0.65</v>
      </c>
      <c r="R11" s="14">
        <f t="shared" si="5"/>
        <v>0.39393939393939392</v>
      </c>
      <c r="S11" s="21"/>
    </row>
    <row r="12" spans="1:19" x14ac:dyDescent="0.25">
      <c r="A12" s="22" t="s">
        <v>74</v>
      </c>
      <c r="B12" s="13" t="s">
        <v>12</v>
      </c>
      <c r="C12" s="14">
        <v>11</v>
      </c>
      <c r="D12" s="14">
        <v>0</v>
      </c>
      <c r="E12" s="14">
        <v>6</v>
      </c>
      <c r="F12" s="14">
        <f t="shared" si="0"/>
        <v>0.6470588235294118</v>
      </c>
      <c r="G12" s="14">
        <f t="shared" si="1"/>
        <v>1</v>
      </c>
      <c r="H12" s="14">
        <f t="shared" si="2"/>
        <v>0.78571428571428581</v>
      </c>
      <c r="I12" s="25" t="s">
        <v>50</v>
      </c>
      <c r="K12" s="22" t="s">
        <v>74</v>
      </c>
      <c r="L12" s="13" t="s">
        <v>12</v>
      </c>
      <c r="M12" s="14">
        <v>11</v>
      </c>
      <c r="N12" s="14">
        <v>0</v>
      </c>
      <c r="O12" s="14">
        <v>11</v>
      </c>
      <c r="P12" s="14">
        <f t="shared" si="3"/>
        <v>0.5</v>
      </c>
      <c r="Q12" s="14">
        <f t="shared" si="4"/>
        <v>1</v>
      </c>
      <c r="R12" s="14">
        <f t="shared" si="5"/>
        <v>0.66666666666666663</v>
      </c>
      <c r="S12" s="25" t="s">
        <v>75</v>
      </c>
    </row>
    <row r="13" spans="1:19" x14ac:dyDescent="0.25">
      <c r="A13" s="23"/>
      <c r="B13" s="13" t="s">
        <v>15</v>
      </c>
      <c r="C13" s="14">
        <v>14</v>
      </c>
      <c r="D13" s="14">
        <v>1</v>
      </c>
      <c r="E13" s="14">
        <v>60</v>
      </c>
      <c r="F13" s="14">
        <f t="shared" si="0"/>
        <v>0.1891891891891892</v>
      </c>
      <c r="G13" s="14">
        <f t="shared" si="1"/>
        <v>0.93333333333333335</v>
      </c>
      <c r="H13" s="14">
        <f t="shared" si="2"/>
        <v>0.3146067415730337</v>
      </c>
      <c r="I13" s="21"/>
      <c r="K13" s="23"/>
      <c r="L13" s="13" t="s">
        <v>15</v>
      </c>
      <c r="M13" s="14">
        <v>13</v>
      </c>
      <c r="N13" s="14">
        <v>1</v>
      </c>
      <c r="O13" s="14">
        <v>130</v>
      </c>
      <c r="P13" s="14">
        <f t="shared" si="3"/>
        <v>9.0909090909090912E-2</v>
      </c>
      <c r="Q13" s="14">
        <f t="shared" si="4"/>
        <v>0.9285714285714286</v>
      </c>
      <c r="R13" s="14">
        <f t="shared" si="5"/>
        <v>0.16560509554140129</v>
      </c>
      <c r="S13" s="21"/>
    </row>
    <row r="14" spans="1:19" x14ac:dyDescent="0.25">
      <c r="A14" s="23"/>
      <c r="B14" s="13" t="s">
        <v>16</v>
      </c>
      <c r="C14" s="14">
        <v>4</v>
      </c>
      <c r="D14" s="14">
        <v>0</v>
      </c>
      <c r="E14" s="14">
        <v>16</v>
      </c>
      <c r="F14" s="14">
        <f t="shared" si="0"/>
        <v>0.2</v>
      </c>
      <c r="G14" s="14">
        <f t="shared" si="1"/>
        <v>1</v>
      </c>
      <c r="H14" s="14">
        <f t="shared" si="2"/>
        <v>0.33333333333333337</v>
      </c>
      <c r="I14" s="21"/>
      <c r="K14" s="23"/>
      <c r="L14" s="13" t="s">
        <v>16</v>
      </c>
      <c r="M14" s="14">
        <v>1</v>
      </c>
      <c r="N14" s="14">
        <v>3</v>
      </c>
      <c r="O14" s="14">
        <v>84</v>
      </c>
      <c r="P14" s="14">
        <f t="shared" si="3"/>
        <v>1.1764705882352941E-2</v>
      </c>
      <c r="Q14" s="14">
        <f t="shared" si="4"/>
        <v>0.25</v>
      </c>
      <c r="R14" s="14">
        <f t="shared" si="5"/>
        <v>2.247191011235955E-2</v>
      </c>
      <c r="S14" s="21"/>
    </row>
    <row r="15" spans="1:19" x14ac:dyDescent="0.25">
      <c r="A15" s="23"/>
      <c r="B15" s="13" t="s">
        <v>17</v>
      </c>
      <c r="C15" s="15" t="s">
        <v>25</v>
      </c>
      <c r="D15" s="15" t="s">
        <v>25</v>
      </c>
      <c r="E15" s="15" t="s">
        <v>25</v>
      </c>
      <c r="F15" s="15" t="s">
        <v>25</v>
      </c>
      <c r="G15" s="15" t="s">
        <v>25</v>
      </c>
      <c r="H15" s="15" t="s">
        <v>25</v>
      </c>
      <c r="I15" s="21"/>
      <c r="K15" s="23"/>
      <c r="L15" s="13" t="s">
        <v>17</v>
      </c>
      <c r="M15" s="15" t="s">
        <v>25</v>
      </c>
      <c r="N15" s="15" t="s">
        <v>25</v>
      </c>
      <c r="O15" s="15" t="s">
        <v>25</v>
      </c>
      <c r="P15" s="15" t="s">
        <v>25</v>
      </c>
      <c r="Q15" s="15" t="s">
        <v>25</v>
      </c>
      <c r="R15" s="15" t="s">
        <v>25</v>
      </c>
      <c r="S15" s="21"/>
    </row>
    <row r="16" spans="1:19" x14ac:dyDescent="0.25">
      <c r="A16" s="23"/>
      <c r="B16" s="13" t="s">
        <v>18</v>
      </c>
      <c r="C16" s="14">
        <v>1</v>
      </c>
      <c r="D16" s="14">
        <v>0</v>
      </c>
      <c r="E16" s="14">
        <v>3</v>
      </c>
      <c r="F16" s="14">
        <f t="shared" ref="F16:F32" si="8">IFERROR(C16/(C16+E16), 0)</f>
        <v>0.25</v>
      </c>
      <c r="G16" s="14">
        <f t="shared" ref="G16:G32" si="9">IFERROR(C16/(C16+D16), 0)</f>
        <v>1</v>
      </c>
      <c r="H16" s="14">
        <f t="shared" ref="H16:H32" si="10">IFERROR(2*(F16*G16)/(F16+G16), 0)</f>
        <v>0.4</v>
      </c>
      <c r="I16" s="21"/>
      <c r="K16" s="23"/>
      <c r="L16" s="13" t="s">
        <v>18</v>
      </c>
      <c r="M16" s="14">
        <v>1</v>
      </c>
      <c r="N16" s="14">
        <v>0</v>
      </c>
      <c r="O16" s="14">
        <v>0</v>
      </c>
      <c r="P16" s="14">
        <f t="shared" ref="P16:P32" si="11">IFERROR(M16/(M16+O16), 0)</f>
        <v>1</v>
      </c>
      <c r="Q16" s="14">
        <f t="shared" ref="Q16:Q32" si="12">IFERROR(M16/(M16+N16), 0)</f>
        <v>1</v>
      </c>
      <c r="R16" s="14">
        <f t="shared" ref="R16:R32" si="13">IFERROR(2*(P16*Q16)/(P16+Q16), 0)</f>
        <v>1</v>
      </c>
      <c r="S16" s="21"/>
    </row>
    <row r="17" spans="1:19" x14ac:dyDescent="0.25">
      <c r="A17" s="23"/>
      <c r="B17" s="13" t="s">
        <v>19</v>
      </c>
      <c r="C17" s="14">
        <v>5</v>
      </c>
      <c r="D17" s="14">
        <v>0</v>
      </c>
      <c r="E17" s="14">
        <v>3</v>
      </c>
      <c r="F17" s="14">
        <f t="shared" si="8"/>
        <v>0.625</v>
      </c>
      <c r="G17" s="14">
        <f t="shared" si="9"/>
        <v>1</v>
      </c>
      <c r="H17" s="14">
        <f t="shared" si="10"/>
        <v>0.76923076923076927</v>
      </c>
      <c r="I17" s="21"/>
      <c r="K17" s="23"/>
      <c r="L17" s="13" t="s">
        <v>19</v>
      </c>
      <c r="M17" s="14">
        <v>3</v>
      </c>
      <c r="N17" s="14">
        <v>2</v>
      </c>
      <c r="O17" s="14">
        <v>2</v>
      </c>
      <c r="P17" s="14">
        <f t="shared" si="11"/>
        <v>0.6</v>
      </c>
      <c r="Q17" s="14">
        <f t="shared" si="12"/>
        <v>0.6</v>
      </c>
      <c r="R17" s="14">
        <f t="shared" si="13"/>
        <v>0.6</v>
      </c>
      <c r="S17" s="21"/>
    </row>
    <row r="18" spans="1:19" x14ac:dyDescent="0.25">
      <c r="A18" s="23"/>
      <c r="B18" s="13" t="s">
        <v>20</v>
      </c>
      <c r="C18" s="14">
        <v>0</v>
      </c>
      <c r="D18" s="14">
        <v>1</v>
      </c>
      <c r="E18" s="14">
        <v>0</v>
      </c>
      <c r="F18" s="14">
        <f t="shared" si="8"/>
        <v>0</v>
      </c>
      <c r="G18" s="14">
        <f t="shared" si="9"/>
        <v>0</v>
      </c>
      <c r="H18" s="14">
        <f t="shared" si="10"/>
        <v>0</v>
      </c>
      <c r="I18" s="21"/>
      <c r="K18" s="23"/>
      <c r="L18" s="13" t="s">
        <v>20</v>
      </c>
      <c r="M18" s="14">
        <v>1</v>
      </c>
      <c r="N18" s="14">
        <v>0</v>
      </c>
      <c r="O18" s="14">
        <v>0</v>
      </c>
      <c r="P18" s="14">
        <f t="shared" si="11"/>
        <v>1</v>
      </c>
      <c r="Q18" s="14">
        <f t="shared" si="12"/>
        <v>1</v>
      </c>
      <c r="R18" s="14">
        <f t="shared" si="13"/>
        <v>1</v>
      </c>
      <c r="S18" s="21"/>
    </row>
    <row r="19" spans="1:19" x14ac:dyDescent="0.25">
      <c r="A19" s="24"/>
      <c r="B19" s="13" t="s">
        <v>21</v>
      </c>
      <c r="C19" s="14">
        <f t="shared" ref="C19:E19" si="14">SUM(C12:C18)</f>
        <v>35</v>
      </c>
      <c r="D19" s="14">
        <f t="shared" si="14"/>
        <v>2</v>
      </c>
      <c r="E19" s="14">
        <f t="shared" si="14"/>
        <v>88</v>
      </c>
      <c r="F19" s="14">
        <f t="shared" si="8"/>
        <v>0.28455284552845528</v>
      </c>
      <c r="G19" s="14">
        <f t="shared" si="9"/>
        <v>0.94594594594594594</v>
      </c>
      <c r="H19" s="14">
        <f t="shared" si="10"/>
        <v>0.4375</v>
      </c>
      <c r="I19" s="21"/>
      <c r="K19" s="24"/>
      <c r="L19" s="13" t="s">
        <v>21</v>
      </c>
      <c r="M19" s="14">
        <f t="shared" ref="M19:O19" si="15">SUM(M12:M18)</f>
        <v>30</v>
      </c>
      <c r="N19" s="14">
        <f t="shared" si="15"/>
        <v>6</v>
      </c>
      <c r="O19" s="14">
        <f t="shared" si="15"/>
        <v>227</v>
      </c>
      <c r="P19" s="14">
        <f t="shared" si="11"/>
        <v>0.11673151750972763</v>
      </c>
      <c r="Q19" s="14">
        <f t="shared" si="12"/>
        <v>0.83333333333333337</v>
      </c>
      <c r="R19" s="14">
        <f t="shared" si="13"/>
        <v>0.20477815699658702</v>
      </c>
      <c r="S19" s="21"/>
    </row>
    <row r="20" spans="1:19" x14ac:dyDescent="0.25">
      <c r="A20" s="22" t="s">
        <v>76</v>
      </c>
      <c r="B20" s="13" t="s">
        <v>12</v>
      </c>
      <c r="C20" s="14">
        <v>7</v>
      </c>
      <c r="D20" s="14">
        <v>2</v>
      </c>
      <c r="E20" s="14">
        <v>0</v>
      </c>
      <c r="F20" s="14">
        <f t="shared" si="8"/>
        <v>1</v>
      </c>
      <c r="G20" s="14">
        <f t="shared" si="9"/>
        <v>0.77777777777777779</v>
      </c>
      <c r="H20" s="14">
        <f t="shared" si="10"/>
        <v>0.87500000000000011</v>
      </c>
      <c r="I20" s="25" t="s">
        <v>53</v>
      </c>
      <c r="K20" s="22" t="s">
        <v>76</v>
      </c>
      <c r="L20" s="13" t="s">
        <v>12</v>
      </c>
      <c r="M20" s="14">
        <v>7</v>
      </c>
      <c r="N20" s="14">
        <v>2</v>
      </c>
      <c r="O20" s="14">
        <v>3</v>
      </c>
      <c r="P20" s="14">
        <f t="shared" si="11"/>
        <v>0.7</v>
      </c>
      <c r="Q20" s="14">
        <f t="shared" si="12"/>
        <v>0.77777777777777779</v>
      </c>
      <c r="R20" s="14">
        <f t="shared" si="13"/>
        <v>0.73684210526315774</v>
      </c>
      <c r="S20" s="25" t="s">
        <v>77</v>
      </c>
    </row>
    <row r="21" spans="1:19" x14ac:dyDescent="0.25">
      <c r="A21" s="23"/>
      <c r="B21" s="13" t="s">
        <v>15</v>
      </c>
      <c r="C21" s="14">
        <v>13</v>
      </c>
      <c r="D21" s="14">
        <v>2</v>
      </c>
      <c r="E21" s="14">
        <v>23</v>
      </c>
      <c r="F21" s="14">
        <f t="shared" si="8"/>
        <v>0.3611111111111111</v>
      </c>
      <c r="G21" s="14">
        <f t="shared" si="9"/>
        <v>0.8666666666666667</v>
      </c>
      <c r="H21" s="14">
        <f t="shared" si="10"/>
        <v>0.50980392156862742</v>
      </c>
      <c r="I21" s="21"/>
      <c r="K21" s="23"/>
      <c r="L21" s="13" t="s">
        <v>15</v>
      </c>
      <c r="M21" s="14">
        <v>13</v>
      </c>
      <c r="N21" s="14">
        <v>2</v>
      </c>
      <c r="O21" s="14">
        <v>30</v>
      </c>
      <c r="P21" s="14">
        <f t="shared" si="11"/>
        <v>0.30232558139534882</v>
      </c>
      <c r="Q21" s="14">
        <f t="shared" si="12"/>
        <v>0.8666666666666667</v>
      </c>
      <c r="R21" s="14">
        <f t="shared" si="13"/>
        <v>0.44827586206896547</v>
      </c>
      <c r="S21" s="21"/>
    </row>
    <row r="22" spans="1:19" x14ac:dyDescent="0.25">
      <c r="A22" s="23"/>
      <c r="B22" s="13" t="s">
        <v>16</v>
      </c>
      <c r="C22" s="14">
        <v>0</v>
      </c>
      <c r="D22" s="15" t="s">
        <v>48</v>
      </c>
      <c r="E22" s="15" t="s">
        <v>48</v>
      </c>
      <c r="F22" s="14">
        <f t="shared" si="8"/>
        <v>0</v>
      </c>
      <c r="G22" s="14">
        <f t="shared" si="9"/>
        <v>0</v>
      </c>
      <c r="H22" s="14">
        <f t="shared" si="10"/>
        <v>0</v>
      </c>
      <c r="I22" s="21"/>
      <c r="K22" s="23"/>
      <c r="L22" s="13" t="s">
        <v>16</v>
      </c>
      <c r="M22" s="14">
        <v>4</v>
      </c>
      <c r="N22" s="14">
        <v>0</v>
      </c>
      <c r="O22" s="14">
        <v>10</v>
      </c>
      <c r="P22" s="14">
        <f t="shared" si="11"/>
        <v>0.2857142857142857</v>
      </c>
      <c r="Q22" s="14">
        <f t="shared" si="12"/>
        <v>1</v>
      </c>
      <c r="R22" s="14">
        <f t="shared" si="13"/>
        <v>0.44444444444444448</v>
      </c>
      <c r="S22" s="21"/>
    </row>
    <row r="23" spans="1:19" x14ac:dyDescent="0.25">
      <c r="A23" s="23"/>
      <c r="B23" s="13" t="s">
        <v>17</v>
      </c>
      <c r="C23" s="14">
        <v>4</v>
      </c>
      <c r="D23" s="14">
        <v>2</v>
      </c>
      <c r="E23" s="14">
        <v>23</v>
      </c>
      <c r="F23" s="14">
        <f t="shared" si="8"/>
        <v>0.14814814814814814</v>
      </c>
      <c r="G23" s="14">
        <f t="shared" si="9"/>
        <v>0.66666666666666663</v>
      </c>
      <c r="H23" s="14">
        <f t="shared" si="10"/>
        <v>0.24242424242424243</v>
      </c>
      <c r="I23" s="21"/>
      <c r="K23" s="23"/>
      <c r="L23" s="13" t="s">
        <v>17</v>
      </c>
      <c r="M23" s="14">
        <v>10</v>
      </c>
      <c r="N23" s="14">
        <v>0</v>
      </c>
      <c r="O23" s="14">
        <v>27</v>
      </c>
      <c r="P23" s="14">
        <f t="shared" si="11"/>
        <v>0.27027027027027029</v>
      </c>
      <c r="Q23" s="14">
        <f t="shared" si="12"/>
        <v>1</v>
      </c>
      <c r="R23" s="14">
        <f t="shared" si="13"/>
        <v>0.42553191489361708</v>
      </c>
      <c r="S23" s="21"/>
    </row>
    <row r="24" spans="1:19" x14ac:dyDescent="0.25">
      <c r="A24" s="23"/>
      <c r="B24" s="13" t="s">
        <v>18</v>
      </c>
      <c r="C24" s="14">
        <v>2</v>
      </c>
      <c r="D24" s="14">
        <v>2</v>
      </c>
      <c r="E24" s="14">
        <v>0</v>
      </c>
      <c r="F24" s="14">
        <f t="shared" si="8"/>
        <v>1</v>
      </c>
      <c r="G24" s="14">
        <f t="shared" si="9"/>
        <v>0.5</v>
      </c>
      <c r="H24" s="14">
        <f t="shared" si="10"/>
        <v>0.66666666666666663</v>
      </c>
      <c r="I24" s="21"/>
      <c r="K24" s="23"/>
      <c r="L24" s="13" t="s">
        <v>18</v>
      </c>
      <c r="M24" s="14">
        <v>1</v>
      </c>
      <c r="N24" s="14">
        <v>1</v>
      </c>
      <c r="O24" s="14">
        <v>2</v>
      </c>
      <c r="P24" s="14">
        <f t="shared" si="11"/>
        <v>0.33333333333333331</v>
      </c>
      <c r="Q24" s="14">
        <f t="shared" si="12"/>
        <v>0.5</v>
      </c>
      <c r="R24" s="14">
        <f t="shared" si="13"/>
        <v>0.4</v>
      </c>
      <c r="S24" s="21"/>
    </row>
    <row r="25" spans="1:19" x14ac:dyDescent="0.25">
      <c r="A25" s="23"/>
      <c r="B25" s="13" t="s">
        <v>19</v>
      </c>
      <c r="C25" s="14">
        <v>0</v>
      </c>
      <c r="D25" s="15" t="s">
        <v>48</v>
      </c>
      <c r="E25" s="15" t="s">
        <v>48</v>
      </c>
      <c r="F25" s="14">
        <f t="shared" si="8"/>
        <v>0</v>
      </c>
      <c r="G25" s="14">
        <f t="shared" si="9"/>
        <v>0</v>
      </c>
      <c r="H25" s="14">
        <f t="shared" si="10"/>
        <v>0</v>
      </c>
      <c r="I25" s="21"/>
      <c r="K25" s="23"/>
      <c r="L25" s="13" t="s">
        <v>19</v>
      </c>
      <c r="M25" s="14">
        <v>0</v>
      </c>
      <c r="N25" s="14">
        <v>2</v>
      </c>
      <c r="O25" s="14">
        <v>0</v>
      </c>
      <c r="P25" s="14">
        <f t="shared" si="11"/>
        <v>0</v>
      </c>
      <c r="Q25" s="14">
        <f t="shared" si="12"/>
        <v>0</v>
      </c>
      <c r="R25" s="14">
        <f t="shared" si="13"/>
        <v>0</v>
      </c>
      <c r="S25" s="21"/>
    </row>
    <row r="26" spans="1:19" x14ac:dyDescent="0.25">
      <c r="A26" s="23"/>
      <c r="B26" s="13" t="s">
        <v>20</v>
      </c>
      <c r="C26" s="14">
        <v>1</v>
      </c>
      <c r="D26" s="14">
        <v>0</v>
      </c>
      <c r="E26" s="14">
        <v>0</v>
      </c>
      <c r="F26" s="14">
        <f t="shared" si="8"/>
        <v>1</v>
      </c>
      <c r="G26" s="14">
        <f t="shared" si="9"/>
        <v>1</v>
      </c>
      <c r="H26" s="14">
        <f t="shared" si="10"/>
        <v>1</v>
      </c>
      <c r="I26" s="21"/>
      <c r="K26" s="23"/>
      <c r="L26" s="13" t="s">
        <v>20</v>
      </c>
      <c r="M26" s="14">
        <v>0</v>
      </c>
      <c r="N26" s="14">
        <v>1</v>
      </c>
      <c r="O26" s="14">
        <v>0</v>
      </c>
      <c r="P26" s="14">
        <f t="shared" si="11"/>
        <v>0</v>
      </c>
      <c r="Q26" s="14">
        <f t="shared" si="12"/>
        <v>0</v>
      </c>
      <c r="R26" s="14">
        <f t="shared" si="13"/>
        <v>0</v>
      </c>
      <c r="S26" s="21"/>
    </row>
    <row r="27" spans="1:19" x14ac:dyDescent="0.25">
      <c r="A27" s="24"/>
      <c r="B27" s="13" t="s">
        <v>21</v>
      </c>
      <c r="C27" s="14">
        <f t="shared" ref="C27:E27" si="16">SUM(C20:C26)</f>
        <v>27</v>
      </c>
      <c r="D27" s="14">
        <f t="shared" si="16"/>
        <v>8</v>
      </c>
      <c r="E27" s="14">
        <f t="shared" si="16"/>
        <v>46</v>
      </c>
      <c r="F27" s="14">
        <f t="shared" si="8"/>
        <v>0.36986301369863012</v>
      </c>
      <c r="G27" s="14">
        <f t="shared" si="9"/>
        <v>0.77142857142857146</v>
      </c>
      <c r="H27" s="14">
        <f t="shared" si="10"/>
        <v>0.5</v>
      </c>
      <c r="I27" s="21"/>
      <c r="K27" s="24"/>
      <c r="L27" s="13" t="s">
        <v>21</v>
      </c>
      <c r="M27" s="14">
        <f t="shared" ref="M27:O27" si="17">SUM(M20:M26)</f>
        <v>35</v>
      </c>
      <c r="N27" s="14">
        <f t="shared" si="17"/>
        <v>8</v>
      </c>
      <c r="O27" s="14">
        <f t="shared" si="17"/>
        <v>72</v>
      </c>
      <c r="P27" s="14">
        <f t="shared" si="11"/>
        <v>0.32710280373831774</v>
      </c>
      <c r="Q27" s="14">
        <f t="shared" si="12"/>
        <v>0.81395348837209303</v>
      </c>
      <c r="R27" s="14">
        <f t="shared" si="13"/>
        <v>0.46666666666666667</v>
      </c>
      <c r="S27" s="21"/>
    </row>
    <row r="28" spans="1:19" x14ac:dyDescent="0.25">
      <c r="A28" s="22" t="s">
        <v>78</v>
      </c>
      <c r="B28" s="13" t="s">
        <v>12</v>
      </c>
      <c r="C28" s="14">
        <v>8</v>
      </c>
      <c r="D28" s="14">
        <v>1</v>
      </c>
      <c r="E28" s="14">
        <v>2</v>
      </c>
      <c r="F28" s="14">
        <f t="shared" si="8"/>
        <v>0.8</v>
      </c>
      <c r="G28" s="14">
        <f t="shared" si="9"/>
        <v>0.88888888888888884</v>
      </c>
      <c r="H28" s="14">
        <f t="shared" si="10"/>
        <v>0.8421052631578948</v>
      </c>
      <c r="I28" s="25" t="s">
        <v>56</v>
      </c>
      <c r="K28" s="22" t="s">
        <v>78</v>
      </c>
      <c r="L28" s="13" t="s">
        <v>12</v>
      </c>
      <c r="M28" s="14">
        <v>8</v>
      </c>
      <c r="N28" s="14">
        <v>1</v>
      </c>
      <c r="O28" s="14">
        <v>5</v>
      </c>
      <c r="P28" s="14">
        <f t="shared" si="11"/>
        <v>0.61538461538461542</v>
      </c>
      <c r="Q28" s="14">
        <f t="shared" si="12"/>
        <v>0.88888888888888884</v>
      </c>
      <c r="R28" s="14">
        <f t="shared" si="13"/>
        <v>0.7272727272727274</v>
      </c>
      <c r="S28" s="25" t="s">
        <v>79</v>
      </c>
    </row>
    <row r="29" spans="1:19" x14ac:dyDescent="0.25">
      <c r="A29" s="23"/>
      <c r="B29" s="13" t="s">
        <v>15</v>
      </c>
      <c r="C29" s="14">
        <v>10</v>
      </c>
      <c r="D29" s="14">
        <v>3</v>
      </c>
      <c r="E29" s="14">
        <v>20</v>
      </c>
      <c r="F29" s="14">
        <f t="shared" si="8"/>
        <v>0.33333333333333331</v>
      </c>
      <c r="G29" s="14">
        <f t="shared" si="9"/>
        <v>0.76923076923076927</v>
      </c>
      <c r="H29" s="14">
        <f t="shared" si="10"/>
        <v>0.46511627906976738</v>
      </c>
      <c r="I29" s="21"/>
      <c r="K29" s="23"/>
      <c r="L29" s="13" t="s">
        <v>15</v>
      </c>
      <c r="M29" s="14">
        <v>11</v>
      </c>
      <c r="N29" s="14">
        <v>5</v>
      </c>
      <c r="O29" s="14">
        <v>55</v>
      </c>
      <c r="P29" s="14">
        <f t="shared" si="11"/>
        <v>0.16666666666666666</v>
      </c>
      <c r="Q29" s="14">
        <f t="shared" si="12"/>
        <v>0.6875</v>
      </c>
      <c r="R29" s="14">
        <f t="shared" si="13"/>
        <v>0.26829268292682928</v>
      </c>
      <c r="S29" s="21"/>
    </row>
    <row r="30" spans="1:19" x14ac:dyDescent="0.25">
      <c r="A30" s="23"/>
      <c r="B30" s="13" t="s">
        <v>16</v>
      </c>
      <c r="C30" s="14">
        <v>4</v>
      </c>
      <c r="D30" s="14">
        <v>3</v>
      </c>
      <c r="E30" s="14">
        <v>8</v>
      </c>
      <c r="F30" s="14">
        <f t="shared" si="8"/>
        <v>0.33333333333333331</v>
      </c>
      <c r="G30" s="14">
        <f t="shared" si="9"/>
        <v>0.5714285714285714</v>
      </c>
      <c r="H30" s="14">
        <f t="shared" si="10"/>
        <v>0.4210526315789474</v>
      </c>
      <c r="I30" s="21"/>
      <c r="K30" s="23"/>
      <c r="L30" s="13" t="s">
        <v>16</v>
      </c>
      <c r="M30" s="14">
        <v>5</v>
      </c>
      <c r="N30" s="14">
        <v>2</v>
      </c>
      <c r="O30" s="14">
        <v>26</v>
      </c>
      <c r="P30" s="14">
        <f t="shared" si="11"/>
        <v>0.16129032258064516</v>
      </c>
      <c r="Q30" s="14">
        <f t="shared" si="12"/>
        <v>0.7142857142857143</v>
      </c>
      <c r="R30" s="14">
        <f t="shared" si="13"/>
        <v>0.26315789473684209</v>
      </c>
      <c r="S30" s="21"/>
    </row>
    <row r="31" spans="1:19" x14ac:dyDescent="0.25">
      <c r="A31" s="23"/>
      <c r="B31" s="13" t="s">
        <v>17</v>
      </c>
      <c r="C31" s="14">
        <v>3</v>
      </c>
      <c r="D31" s="14">
        <v>3</v>
      </c>
      <c r="E31" s="14">
        <v>15</v>
      </c>
      <c r="F31" s="14">
        <f t="shared" si="8"/>
        <v>0.16666666666666666</v>
      </c>
      <c r="G31" s="14">
        <f t="shared" si="9"/>
        <v>0.5</v>
      </c>
      <c r="H31" s="14">
        <f t="shared" si="10"/>
        <v>0.25</v>
      </c>
      <c r="I31" s="21"/>
      <c r="K31" s="23"/>
      <c r="L31" s="13" t="s">
        <v>17</v>
      </c>
      <c r="M31" s="14">
        <v>0</v>
      </c>
      <c r="N31" s="14">
        <v>6</v>
      </c>
      <c r="O31" s="14">
        <v>32</v>
      </c>
      <c r="P31" s="14">
        <f t="shared" si="11"/>
        <v>0</v>
      </c>
      <c r="Q31" s="14">
        <f t="shared" si="12"/>
        <v>0</v>
      </c>
      <c r="R31" s="14">
        <f t="shared" si="13"/>
        <v>0</v>
      </c>
      <c r="S31" s="21"/>
    </row>
    <row r="32" spans="1:19" x14ac:dyDescent="0.25">
      <c r="A32" s="23"/>
      <c r="B32" s="13" t="s">
        <v>18</v>
      </c>
      <c r="C32" s="14">
        <v>1</v>
      </c>
      <c r="D32" s="14">
        <v>1</v>
      </c>
      <c r="E32" s="14">
        <v>3</v>
      </c>
      <c r="F32" s="14">
        <f t="shared" si="8"/>
        <v>0.25</v>
      </c>
      <c r="G32" s="14">
        <f t="shared" si="9"/>
        <v>0.5</v>
      </c>
      <c r="H32" s="14">
        <f t="shared" si="10"/>
        <v>0.33333333333333331</v>
      </c>
      <c r="I32" s="21"/>
      <c r="K32" s="23"/>
      <c r="L32" s="13" t="s">
        <v>18</v>
      </c>
      <c r="M32" s="14">
        <v>1</v>
      </c>
      <c r="N32" s="14">
        <v>0</v>
      </c>
      <c r="O32" s="14">
        <v>3</v>
      </c>
      <c r="P32" s="14">
        <f t="shared" si="11"/>
        <v>0.25</v>
      </c>
      <c r="Q32" s="14">
        <f t="shared" si="12"/>
        <v>1</v>
      </c>
      <c r="R32" s="14">
        <f t="shared" si="13"/>
        <v>0.4</v>
      </c>
      <c r="S32" s="21"/>
    </row>
    <row r="33" spans="1:19" x14ac:dyDescent="0.25">
      <c r="A33" s="23"/>
      <c r="B33" s="13" t="s">
        <v>19</v>
      </c>
      <c r="C33" s="15" t="s">
        <v>48</v>
      </c>
      <c r="D33" s="15" t="s">
        <v>48</v>
      </c>
      <c r="E33" s="15" t="s">
        <v>48</v>
      </c>
      <c r="F33" s="15" t="s">
        <v>25</v>
      </c>
      <c r="G33" s="15" t="s">
        <v>25</v>
      </c>
      <c r="H33" s="15" t="s">
        <v>25</v>
      </c>
      <c r="I33" s="21"/>
      <c r="K33" s="23"/>
      <c r="L33" s="13" t="s">
        <v>19</v>
      </c>
      <c r="M33" s="15" t="s">
        <v>25</v>
      </c>
      <c r="N33" s="15" t="s">
        <v>25</v>
      </c>
      <c r="O33" s="15" t="s">
        <v>25</v>
      </c>
      <c r="P33" s="15" t="s">
        <v>25</v>
      </c>
      <c r="Q33" s="15" t="s">
        <v>25</v>
      </c>
      <c r="R33" s="15" t="s">
        <v>25</v>
      </c>
      <c r="S33" s="21"/>
    </row>
    <row r="34" spans="1:19" x14ac:dyDescent="0.25">
      <c r="A34" s="23"/>
      <c r="B34" s="13" t="s">
        <v>20</v>
      </c>
      <c r="C34" s="14">
        <v>0</v>
      </c>
      <c r="D34" s="14">
        <v>1</v>
      </c>
      <c r="E34" s="14">
        <v>0</v>
      </c>
      <c r="F34" s="14">
        <f t="shared" ref="F34:F40" si="18">IFERROR(C34/(C34+E34), 0)</f>
        <v>0</v>
      </c>
      <c r="G34" s="14">
        <f t="shared" ref="G34:G40" si="19">IFERROR(C34/(C34+D34), 0)</f>
        <v>0</v>
      </c>
      <c r="H34" s="14">
        <f t="shared" ref="H34:H40" si="20">IFERROR(2*(F34*G34)/(F34+G34), 0)</f>
        <v>0</v>
      </c>
      <c r="I34" s="21"/>
      <c r="K34" s="23"/>
      <c r="L34" s="13" t="s">
        <v>20</v>
      </c>
      <c r="M34" s="14">
        <v>0</v>
      </c>
      <c r="N34" s="14">
        <v>1</v>
      </c>
      <c r="O34" s="14">
        <v>0</v>
      </c>
      <c r="P34" s="14">
        <f t="shared" ref="P34:P40" si="21">IFERROR(M34/(M34+O34), 0)</f>
        <v>0</v>
      </c>
      <c r="Q34" s="14">
        <f t="shared" ref="Q34:Q40" si="22">IFERROR(M34/(M34+N34), 0)</f>
        <v>0</v>
      </c>
      <c r="R34" s="14">
        <f t="shared" ref="R34:R40" si="23">IFERROR(2*(P34*Q34)/(P34+Q34), 0)</f>
        <v>0</v>
      </c>
      <c r="S34" s="21"/>
    </row>
    <row r="35" spans="1:19" x14ac:dyDescent="0.25">
      <c r="A35" s="24"/>
      <c r="B35" s="13" t="s">
        <v>21</v>
      </c>
      <c r="C35" s="14">
        <f t="shared" ref="C35:E35" si="24">SUM(C28:C34)</f>
        <v>26</v>
      </c>
      <c r="D35" s="14">
        <f t="shared" si="24"/>
        <v>12</v>
      </c>
      <c r="E35" s="14">
        <f t="shared" si="24"/>
        <v>48</v>
      </c>
      <c r="F35" s="14">
        <f t="shared" si="18"/>
        <v>0.35135135135135137</v>
      </c>
      <c r="G35" s="14">
        <f t="shared" si="19"/>
        <v>0.68421052631578949</v>
      </c>
      <c r="H35" s="14">
        <f t="shared" si="20"/>
        <v>0.4642857142857143</v>
      </c>
      <c r="I35" s="21"/>
      <c r="K35" s="24"/>
      <c r="L35" s="13" t="s">
        <v>21</v>
      </c>
      <c r="M35" s="14">
        <f t="shared" ref="M35:O35" si="25">SUM(M28:M34)</f>
        <v>25</v>
      </c>
      <c r="N35" s="14">
        <f t="shared" si="25"/>
        <v>15</v>
      </c>
      <c r="O35" s="14">
        <f t="shared" si="25"/>
        <v>121</v>
      </c>
      <c r="P35" s="14">
        <f t="shared" si="21"/>
        <v>0.17123287671232876</v>
      </c>
      <c r="Q35" s="14">
        <f t="shared" si="22"/>
        <v>0.625</v>
      </c>
      <c r="R35" s="14">
        <f t="shared" si="23"/>
        <v>0.26881720430107525</v>
      </c>
      <c r="S35" s="21"/>
    </row>
    <row r="36" spans="1:19" x14ac:dyDescent="0.25">
      <c r="A36" s="22" t="s">
        <v>80</v>
      </c>
      <c r="B36" s="13" t="s">
        <v>12</v>
      </c>
      <c r="C36" s="14">
        <v>5</v>
      </c>
      <c r="D36" s="14">
        <v>2</v>
      </c>
      <c r="E36" s="14">
        <v>5</v>
      </c>
      <c r="F36" s="14">
        <f t="shared" si="18"/>
        <v>0.5</v>
      </c>
      <c r="G36" s="14">
        <f t="shared" si="19"/>
        <v>0.7142857142857143</v>
      </c>
      <c r="H36" s="14">
        <f t="shared" si="20"/>
        <v>0.58823529411764697</v>
      </c>
      <c r="I36" s="25" t="s">
        <v>59</v>
      </c>
      <c r="K36" s="22" t="s">
        <v>80</v>
      </c>
      <c r="L36" s="13" t="s">
        <v>12</v>
      </c>
      <c r="M36" s="14">
        <v>7</v>
      </c>
      <c r="N36" s="14">
        <v>0</v>
      </c>
      <c r="O36" s="14">
        <v>9</v>
      </c>
      <c r="P36" s="14">
        <f t="shared" si="21"/>
        <v>0.4375</v>
      </c>
      <c r="Q36" s="14">
        <f t="shared" si="22"/>
        <v>1</v>
      </c>
      <c r="R36" s="14">
        <f t="shared" si="23"/>
        <v>0.60869565217391308</v>
      </c>
      <c r="S36" s="25" t="s">
        <v>81</v>
      </c>
    </row>
    <row r="37" spans="1:19" x14ac:dyDescent="0.25">
      <c r="A37" s="23"/>
      <c r="B37" s="13" t="s">
        <v>15</v>
      </c>
      <c r="C37" s="14">
        <v>15</v>
      </c>
      <c r="D37" s="14">
        <v>8</v>
      </c>
      <c r="E37" s="14">
        <v>70</v>
      </c>
      <c r="F37" s="14">
        <f t="shared" si="18"/>
        <v>0.17647058823529413</v>
      </c>
      <c r="G37" s="14">
        <f t="shared" si="19"/>
        <v>0.65217391304347827</v>
      </c>
      <c r="H37" s="14">
        <f t="shared" si="20"/>
        <v>0.27777777777777779</v>
      </c>
      <c r="I37" s="21"/>
      <c r="K37" s="23"/>
      <c r="L37" s="13" t="s">
        <v>15</v>
      </c>
      <c r="M37" s="14">
        <v>9</v>
      </c>
      <c r="N37" s="14">
        <v>14</v>
      </c>
      <c r="O37" s="14">
        <v>77</v>
      </c>
      <c r="P37" s="14">
        <f t="shared" si="21"/>
        <v>0.10465116279069768</v>
      </c>
      <c r="Q37" s="14">
        <f t="shared" si="22"/>
        <v>0.39130434782608697</v>
      </c>
      <c r="R37" s="14">
        <f t="shared" si="23"/>
        <v>0.16513761467889906</v>
      </c>
      <c r="S37" s="21"/>
    </row>
    <row r="38" spans="1:19" x14ac:dyDescent="0.25">
      <c r="A38" s="23"/>
      <c r="B38" s="13" t="s">
        <v>16</v>
      </c>
      <c r="C38" s="14">
        <v>5</v>
      </c>
      <c r="D38" s="14">
        <v>5</v>
      </c>
      <c r="E38" s="14">
        <v>40</v>
      </c>
      <c r="F38" s="14">
        <f t="shared" si="18"/>
        <v>0.1111111111111111</v>
      </c>
      <c r="G38" s="14">
        <f t="shared" si="19"/>
        <v>0.5</v>
      </c>
      <c r="H38" s="14">
        <f t="shared" si="20"/>
        <v>0.1818181818181818</v>
      </c>
      <c r="I38" s="21"/>
      <c r="K38" s="23"/>
      <c r="L38" s="13" t="s">
        <v>16</v>
      </c>
      <c r="M38" s="14">
        <v>3</v>
      </c>
      <c r="N38" s="14">
        <v>6</v>
      </c>
      <c r="O38" s="14">
        <v>56</v>
      </c>
      <c r="P38" s="14">
        <f t="shared" si="21"/>
        <v>5.0847457627118647E-2</v>
      </c>
      <c r="Q38" s="14">
        <f t="shared" si="22"/>
        <v>0.33333333333333331</v>
      </c>
      <c r="R38" s="14">
        <f t="shared" si="23"/>
        <v>8.8235294117647051E-2</v>
      </c>
      <c r="S38" s="21"/>
    </row>
    <row r="39" spans="1:19" x14ac:dyDescent="0.25">
      <c r="A39" s="23"/>
      <c r="B39" s="13" t="s">
        <v>17</v>
      </c>
      <c r="C39" s="14">
        <v>10</v>
      </c>
      <c r="D39" s="14">
        <v>5</v>
      </c>
      <c r="E39" s="14">
        <v>44</v>
      </c>
      <c r="F39" s="14">
        <f t="shared" si="18"/>
        <v>0.18518518518518517</v>
      </c>
      <c r="G39" s="14">
        <f t="shared" si="19"/>
        <v>0.66666666666666663</v>
      </c>
      <c r="H39" s="14">
        <f t="shared" si="20"/>
        <v>0.28985507246376807</v>
      </c>
      <c r="I39" s="21"/>
      <c r="K39" s="23"/>
      <c r="L39" s="13" t="s">
        <v>17</v>
      </c>
      <c r="M39" s="14">
        <v>2</v>
      </c>
      <c r="N39" s="14">
        <v>14</v>
      </c>
      <c r="O39" s="14">
        <v>70</v>
      </c>
      <c r="P39" s="14">
        <f t="shared" si="21"/>
        <v>2.7777777777777776E-2</v>
      </c>
      <c r="Q39" s="14">
        <f t="shared" si="22"/>
        <v>0.125</v>
      </c>
      <c r="R39" s="14">
        <f t="shared" si="23"/>
        <v>4.5454545454545449E-2</v>
      </c>
      <c r="S39" s="21"/>
    </row>
    <row r="40" spans="1:19" x14ac:dyDescent="0.25">
      <c r="A40" s="23"/>
      <c r="B40" s="13" t="s">
        <v>18</v>
      </c>
      <c r="C40" s="14">
        <v>1</v>
      </c>
      <c r="D40" s="14">
        <v>0</v>
      </c>
      <c r="E40" s="14">
        <v>0</v>
      </c>
      <c r="F40" s="14">
        <f t="shared" si="18"/>
        <v>1</v>
      </c>
      <c r="G40" s="14">
        <f t="shared" si="19"/>
        <v>1</v>
      </c>
      <c r="H40" s="14">
        <f t="shared" si="20"/>
        <v>1</v>
      </c>
      <c r="I40" s="21"/>
      <c r="K40" s="23"/>
      <c r="L40" s="13" t="s">
        <v>18</v>
      </c>
      <c r="M40" s="14">
        <v>1</v>
      </c>
      <c r="N40" s="14">
        <v>0</v>
      </c>
      <c r="O40" s="14">
        <v>4</v>
      </c>
      <c r="P40" s="14">
        <f t="shared" si="21"/>
        <v>0.2</v>
      </c>
      <c r="Q40" s="14">
        <f t="shared" si="22"/>
        <v>1</v>
      </c>
      <c r="R40" s="14">
        <f t="shared" si="23"/>
        <v>0.33333333333333337</v>
      </c>
      <c r="S40" s="21"/>
    </row>
    <row r="41" spans="1:19" x14ac:dyDescent="0.25">
      <c r="A41" s="23"/>
      <c r="B41" s="13" t="s">
        <v>19</v>
      </c>
      <c r="C41" s="15" t="s">
        <v>48</v>
      </c>
      <c r="D41" s="15" t="s">
        <v>48</v>
      </c>
      <c r="E41" s="15" t="s">
        <v>48</v>
      </c>
      <c r="F41" s="15" t="s">
        <v>25</v>
      </c>
      <c r="G41" s="15" t="s">
        <v>25</v>
      </c>
      <c r="H41" s="15" t="s">
        <v>25</v>
      </c>
      <c r="I41" s="21"/>
      <c r="K41" s="23"/>
      <c r="L41" s="13" t="s">
        <v>19</v>
      </c>
      <c r="M41" s="15" t="s">
        <v>25</v>
      </c>
      <c r="N41" s="15" t="s">
        <v>25</v>
      </c>
      <c r="O41" s="15" t="s">
        <v>25</v>
      </c>
      <c r="P41" s="15" t="s">
        <v>25</v>
      </c>
      <c r="Q41" s="15" t="s">
        <v>25</v>
      </c>
      <c r="R41" s="15" t="s">
        <v>25</v>
      </c>
      <c r="S41" s="21"/>
    </row>
    <row r="42" spans="1:19" x14ac:dyDescent="0.25">
      <c r="A42" s="23"/>
      <c r="B42" s="13" t="s">
        <v>20</v>
      </c>
      <c r="C42" s="14">
        <v>0</v>
      </c>
      <c r="D42" s="14">
        <v>1</v>
      </c>
      <c r="E42" s="14">
        <v>0</v>
      </c>
      <c r="F42" s="14">
        <f t="shared" ref="F42:F48" si="26">IFERROR(C42/(C42+E42), 0)</f>
        <v>0</v>
      </c>
      <c r="G42" s="14">
        <f t="shared" ref="G42:G48" si="27">IFERROR(C42/(C42+D42), 0)</f>
        <v>0</v>
      </c>
      <c r="H42" s="14">
        <f t="shared" ref="H42:H48" si="28">IFERROR(2*(F42*G42)/(F42+G42), 0)</f>
        <v>0</v>
      </c>
      <c r="I42" s="21"/>
      <c r="K42" s="23"/>
      <c r="L42" s="13" t="s">
        <v>20</v>
      </c>
      <c r="M42" s="14">
        <v>1</v>
      </c>
      <c r="N42" s="14">
        <v>0</v>
      </c>
      <c r="O42" s="14">
        <v>0</v>
      </c>
      <c r="P42" s="14">
        <f t="shared" ref="P42:P48" si="29">IFERROR(M42/(M42+O42), 0)</f>
        <v>1</v>
      </c>
      <c r="Q42" s="14">
        <f t="shared" ref="Q42:Q48" si="30">IFERROR(M42/(M42+N42), 0)</f>
        <v>1</v>
      </c>
      <c r="R42" s="14">
        <f t="shared" ref="R42:R48" si="31">IFERROR(2*(P42*Q42)/(P42+Q42), 0)</f>
        <v>1</v>
      </c>
      <c r="S42" s="21"/>
    </row>
    <row r="43" spans="1:19" x14ac:dyDescent="0.25">
      <c r="A43" s="24"/>
      <c r="B43" s="13" t="s">
        <v>21</v>
      </c>
      <c r="C43" s="14">
        <f t="shared" ref="C43:E43" si="32">SUM(C36:C42)</f>
        <v>36</v>
      </c>
      <c r="D43" s="14">
        <f t="shared" si="32"/>
        <v>21</v>
      </c>
      <c r="E43" s="14">
        <f t="shared" si="32"/>
        <v>159</v>
      </c>
      <c r="F43" s="14">
        <f t="shared" si="26"/>
        <v>0.18461538461538463</v>
      </c>
      <c r="G43" s="14">
        <f t="shared" si="27"/>
        <v>0.63157894736842102</v>
      </c>
      <c r="H43" s="14">
        <f t="shared" si="28"/>
        <v>0.2857142857142857</v>
      </c>
      <c r="I43" s="21"/>
      <c r="K43" s="24"/>
      <c r="L43" s="13" t="s">
        <v>21</v>
      </c>
      <c r="M43" s="14">
        <f t="shared" ref="M43:O43" si="33">SUM(M36:M42)</f>
        <v>23</v>
      </c>
      <c r="N43" s="14">
        <f t="shared" si="33"/>
        <v>34</v>
      </c>
      <c r="O43" s="14">
        <f t="shared" si="33"/>
        <v>216</v>
      </c>
      <c r="P43" s="14">
        <f t="shared" si="29"/>
        <v>9.6234309623430964E-2</v>
      </c>
      <c r="Q43" s="14">
        <f t="shared" si="30"/>
        <v>0.40350877192982454</v>
      </c>
      <c r="R43" s="14">
        <f t="shared" si="31"/>
        <v>0.1554054054054054</v>
      </c>
      <c r="S43" s="21"/>
    </row>
    <row r="44" spans="1:19" x14ac:dyDescent="0.25">
      <c r="A44" s="22" t="s">
        <v>82</v>
      </c>
      <c r="B44" s="13" t="s">
        <v>12</v>
      </c>
      <c r="C44" s="14">
        <v>6</v>
      </c>
      <c r="D44" s="14">
        <v>0</v>
      </c>
      <c r="E44" s="14">
        <v>12</v>
      </c>
      <c r="F44" s="14">
        <f t="shared" si="26"/>
        <v>0.33333333333333331</v>
      </c>
      <c r="G44" s="14">
        <f t="shared" si="27"/>
        <v>1</v>
      </c>
      <c r="H44" s="14">
        <f t="shared" si="28"/>
        <v>0.5</v>
      </c>
      <c r="I44" s="25" t="s">
        <v>62</v>
      </c>
      <c r="K44" s="22" t="s">
        <v>82</v>
      </c>
      <c r="L44" s="13" t="s">
        <v>12</v>
      </c>
      <c r="M44" s="14">
        <v>6</v>
      </c>
      <c r="N44" s="14">
        <v>0</v>
      </c>
      <c r="O44" s="14">
        <v>6</v>
      </c>
      <c r="P44" s="14">
        <f t="shared" si="29"/>
        <v>0.5</v>
      </c>
      <c r="Q44" s="14">
        <f t="shared" si="30"/>
        <v>1</v>
      </c>
      <c r="R44" s="14">
        <f t="shared" si="31"/>
        <v>0.66666666666666663</v>
      </c>
      <c r="S44" s="25" t="s">
        <v>83</v>
      </c>
    </row>
    <row r="45" spans="1:19" x14ac:dyDescent="0.25">
      <c r="A45" s="23"/>
      <c r="B45" s="13" t="s">
        <v>15</v>
      </c>
      <c r="C45" s="14">
        <v>17</v>
      </c>
      <c r="D45" s="14">
        <v>1</v>
      </c>
      <c r="E45" s="14">
        <v>111</v>
      </c>
      <c r="F45" s="14">
        <f t="shared" si="26"/>
        <v>0.1328125</v>
      </c>
      <c r="G45" s="14">
        <f t="shared" si="27"/>
        <v>0.94444444444444442</v>
      </c>
      <c r="H45" s="14">
        <f t="shared" si="28"/>
        <v>0.23287671232876711</v>
      </c>
      <c r="I45" s="21"/>
      <c r="K45" s="23"/>
      <c r="L45" s="13" t="s">
        <v>15</v>
      </c>
      <c r="M45" s="14">
        <v>5</v>
      </c>
      <c r="N45" s="14">
        <v>11</v>
      </c>
      <c r="O45" s="14">
        <v>35</v>
      </c>
      <c r="P45" s="14">
        <f t="shared" si="29"/>
        <v>0.125</v>
      </c>
      <c r="Q45" s="14">
        <f t="shared" si="30"/>
        <v>0.3125</v>
      </c>
      <c r="R45" s="14">
        <f t="shared" si="31"/>
        <v>0.17857142857142858</v>
      </c>
      <c r="S45" s="21"/>
    </row>
    <row r="46" spans="1:19" x14ac:dyDescent="0.25">
      <c r="A46" s="23"/>
      <c r="B46" s="13" t="s">
        <v>16</v>
      </c>
      <c r="C46" s="14">
        <v>6</v>
      </c>
      <c r="D46" s="14">
        <v>0</v>
      </c>
      <c r="E46" s="14">
        <v>59</v>
      </c>
      <c r="F46" s="14">
        <f t="shared" si="26"/>
        <v>9.2307692307692313E-2</v>
      </c>
      <c r="G46" s="14">
        <f t="shared" si="27"/>
        <v>1</v>
      </c>
      <c r="H46" s="14">
        <f t="shared" si="28"/>
        <v>0.16901408450704225</v>
      </c>
      <c r="I46" s="21"/>
      <c r="K46" s="23"/>
      <c r="L46" s="13" t="s">
        <v>16</v>
      </c>
      <c r="M46" s="14">
        <v>0</v>
      </c>
      <c r="N46" s="14">
        <v>6</v>
      </c>
      <c r="O46" s="14">
        <v>25</v>
      </c>
      <c r="P46" s="14">
        <f t="shared" si="29"/>
        <v>0</v>
      </c>
      <c r="Q46" s="14">
        <f t="shared" si="30"/>
        <v>0</v>
      </c>
      <c r="R46" s="14">
        <f t="shared" si="31"/>
        <v>0</v>
      </c>
      <c r="S46" s="21"/>
    </row>
    <row r="47" spans="1:19" x14ac:dyDescent="0.25">
      <c r="A47" s="23"/>
      <c r="B47" s="13" t="s">
        <v>17</v>
      </c>
      <c r="C47" s="14">
        <v>11</v>
      </c>
      <c r="D47" s="14">
        <v>2</v>
      </c>
      <c r="E47" s="14">
        <v>82</v>
      </c>
      <c r="F47" s="14">
        <f t="shared" si="26"/>
        <v>0.11827956989247312</v>
      </c>
      <c r="G47" s="14">
        <f t="shared" si="27"/>
        <v>0.84615384615384615</v>
      </c>
      <c r="H47" s="14">
        <f t="shared" si="28"/>
        <v>0.20754716981132076</v>
      </c>
      <c r="I47" s="21"/>
      <c r="K47" s="23"/>
      <c r="L47" s="13" t="s">
        <v>17</v>
      </c>
      <c r="M47" s="14">
        <v>0</v>
      </c>
      <c r="N47" s="14">
        <v>3</v>
      </c>
      <c r="O47" s="14">
        <v>34</v>
      </c>
      <c r="P47" s="14">
        <f t="shared" si="29"/>
        <v>0</v>
      </c>
      <c r="Q47" s="14">
        <f t="shared" si="30"/>
        <v>0</v>
      </c>
      <c r="R47" s="14">
        <f t="shared" si="31"/>
        <v>0</v>
      </c>
      <c r="S47" s="21"/>
    </row>
    <row r="48" spans="1:19" x14ac:dyDescent="0.25">
      <c r="A48" s="23"/>
      <c r="B48" s="13" t="s">
        <v>18</v>
      </c>
      <c r="C48" s="14">
        <v>2</v>
      </c>
      <c r="D48" s="14">
        <v>1</v>
      </c>
      <c r="E48" s="14">
        <v>1</v>
      </c>
      <c r="F48" s="14">
        <f t="shared" si="26"/>
        <v>0.66666666666666663</v>
      </c>
      <c r="G48" s="14">
        <f t="shared" si="27"/>
        <v>0.66666666666666663</v>
      </c>
      <c r="H48" s="14">
        <f t="shared" si="28"/>
        <v>0.66666666666666663</v>
      </c>
      <c r="I48" s="21"/>
      <c r="K48" s="23"/>
      <c r="L48" s="13" t="s">
        <v>18</v>
      </c>
      <c r="M48" s="14">
        <v>2</v>
      </c>
      <c r="N48" s="14">
        <v>0</v>
      </c>
      <c r="O48" s="14">
        <v>2</v>
      </c>
      <c r="P48" s="14">
        <f t="shared" si="29"/>
        <v>0.5</v>
      </c>
      <c r="Q48" s="14">
        <f t="shared" si="30"/>
        <v>1</v>
      </c>
      <c r="R48" s="14">
        <f t="shared" si="31"/>
        <v>0.66666666666666663</v>
      </c>
      <c r="S48" s="21"/>
    </row>
    <row r="49" spans="1:19" x14ac:dyDescent="0.25">
      <c r="A49" s="23"/>
      <c r="B49" s="13" t="s">
        <v>19</v>
      </c>
      <c r="C49" s="15" t="s">
        <v>48</v>
      </c>
      <c r="D49" s="15" t="s">
        <v>48</v>
      </c>
      <c r="E49" s="15" t="s">
        <v>48</v>
      </c>
      <c r="F49" s="15" t="s">
        <v>25</v>
      </c>
      <c r="G49" s="15" t="s">
        <v>25</v>
      </c>
      <c r="H49" s="15" t="s">
        <v>25</v>
      </c>
      <c r="I49" s="21"/>
      <c r="K49" s="23"/>
      <c r="L49" s="13" t="s">
        <v>19</v>
      </c>
      <c r="M49" s="15" t="s">
        <v>25</v>
      </c>
      <c r="N49" s="15" t="s">
        <v>25</v>
      </c>
      <c r="O49" s="15" t="s">
        <v>25</v>
      </c>
      <c r="P49" s="15" t="s">
        <v>25</v>
      </c>
      <c r="Q49" s="15" t="s">
        <v>25</v>
      </c>
      <c r="R49" s="15" t="s">
        <v>25</v>
      </c>
      <c r="S49" s="21"/>
    </row>
    <row r="50" spans="1:19" x14ac:dyDescent="0.25">
      <c r="A50" s="23"/>
      <c r="B50" s="13" t="s">
        <v>20</v>
      </c>
      <c r="C50" s="14">
        <v>0</v>
      </c>
      <c r="D50" s="14">
        <v>1</v>
      </c>
      <c r="E50" s="14">
        <v>0</v>
      </c>
      <c r="F50" s="14">
        <f t="shared" ref="F50:F56" si="34">IFERROR(C50/(C50+E50), 0)</f>
        <v>0</v>
      </c>
      <c r="G50" s="14">
        <f t="shared" ref="G50:G56" si="35">IFERROR(C50/(C50+D50), 0)</f>
        <v>0</v>
      </c>
      <c r="H50" s="14">
        <f t="shared" ref="H50:H56" si="36">IFERROR(2*(F50*G50)/(F50+G50), 0)</f>
        <v>0</v>
      </c>
      <c r="I50" s="21"/>
      <c r="K50" s="23"/>
      <c r="L50" s="13" t="s">
        <v>20</v>
      </c>
      <c r="M50" s="14">
        <v>1</v>
      </c>
      <c r="N50" s="14">
        <v>0</v>
      </c>
      <c r="O50" s="14">
        <v>1</v>
      </c>
      <c r="P50" s="14">
        <f t="shared" ref="P50:P56" si="37">IFERROR(M50/(M50+O50), 0)</f>
        <v>0.5</v>
      </c>
      <c r="Q50" s="14">
        <f t="shared" ref="Q50:Q56" si="38">IFERROR(M50/(M50+N50), 0)</f>
        <v>1</v>
      </c>
      <c r="R50" s="14">
        <f t="shared" ref="R50:R56" si="39">IFERROR(2*(P50*Q50)/(P50+Q50), 0)</f>
        <v>0.66666666666666663</v>
      </c>
      <c r="S50" s="21"/>
    </row>
    <row r="51" spans="1:19" x14ac:dyDescent="0.25">
      <c r="A51" s="24"/>
      <c r="B51" s="13" t="s">
        <v>21</v>
      </c>
      <c r="C51" s="14">
        <f t="shared" ref="C51:E51" si="40">SUM(C44:C50)</f>
        <v>42</v>
      </c>
      <c r="D51" s="14">
        <f t="shared" si="40"/>
        <v>5</v>
      </c>
      <c r="E51" s="14">
        <f t="shared" si="40"/>
        <v>265</v>
      </c>
      <c r="F51" s="14">
        <f t="shared" si="34"/>
        <v>0.13680781758957655</v>
      </c>
      <c r="G51" s="14">
        <f t="shared" si="35"/>
        <v>0.8936170212765957</v>
      </c>
      <c r="H51" s="14">
        <f t="shared" si="36"/>
        <v>0.23728813559322032</v>
      </c>
      <c r="I51" s="21"/>
      <c r="K51" s="24"/>
      <c r="L51" s="13" t="s">
        <v>21</v>
      </c>
      <c r="M51" s="14">
        <f t="shared" ref="M51:O51" si="41">SUM(M44:M50)</f>
        <v>14</v>
      </c>
      <c r="N51" s="14">
        <f t="shared" si="41"/>
        <v>20</v>
      </c>
      <c r="O51" s="14">
        <f t="shared" si="41"/>
        <v>103</v>
      </c>
      <c r="P51" s="14">
        <f t="shared" si="37"/>
        <v>0.11965811965811966</v>
      </c>
      <c r="Q51" s="14">
        <f t="shared" si="38"/>
        <v>0.41176470588235292</v>
      </c>
      <c r="R51" s="14">
        <f t="shared" si="39"/>
        <v>0.18543046357615894</v>
      </c>
      <c r="S51" s="21"/>
    </row>
    <row r="52" spans="1:19" x14ac:dyDescent="0.25">
      <c r="A52" s="22" t="s">
        <v>84</v>
      </c>
      <c r="B52" s="13" t="s">
        <v>12</v>
      </c>
      <c r="C52" s="14">
        <v>4</v>
      </c>
      <c r="D52" s="14">
        <v>5</v>
      </c>
      <c r="E52" s="14">
        <v>2</v>
      </c>
      <c r="F52" s="14">
        <f t="shared" si="34"/>
        <v>0.66666666666666663</v>
      </c>
      <c r="G52" s="14">
        <f t="shared" si="35"/>
        <v>0.44444444444444442</v>
      </c>
      <c r="H52" s="14">
        <f t="shared" si="36"/>
        <v>0.53333333333333333</v>
      </c>
      <c r="I52" s="25" t="s">
        <v>66</v>
      </c>
      <c r="K52" s="22" t="s">
        <v>84</v>
      </c>
      <c r="L52" s="13" t="s">
        <v>12</v>
      </c>
      <c r="M52" s="14">
        <v>9</v>
      </c>
      <c r="N52" s="14">
        <v>0</v>
      </c>
      <c r="O52" s="14">
        <v>6</v>
      </c>
      <c r="P52" s="14">
        <f t="shared" si="37"/>
        <v>0.6</v>
      </c>
      <c r="Q52" s="14">
        <f t="shared" si="38"/>
        <v>1</v>
      </c>
      <c r="R52" s="14">
        <f t="shared" si="39"/>
        <v>0.74999999999999989</v>
      </c>
      <c r="S52" s="25" t="s">
        <v>85</v>
      </c>
    </row>
    <row r="53" spans="1:19" x14ac:dyDescent="0.25">
      <c r="A53" s="23"/>
      <c r="B53" s="13" t="s">
        <v>15</v>
      </c>
      <c r="C53" s="14">
        <v>8</v>
      </c>
      <c r="D53" s="14">
        <v>6</v>
      </c>
      <c r="E53" s="14">
        <v>20</v>
      </c>
      <c r="F53" s="14">
        <f t="shared" si="34"/>
        <v>0.2857142857142857</v>
      </c>
      <c r="G53" s="14">
        <f t="shared" si="35"/>
        <v>0.5714285714285714</v>
      </c>
      <c r="H53" s="14">
        <f t="shared" si="36"/>
        <v>0.38095238095238093</v>
      </c>
      <c r="I53" s="21"/>
      <c r="K53" s="23"/>
      <c r="L53" s="13" t="s">
        <v>15</v>
      </c>
      <c r="M53" s="14">
        <v>9</v>
      </c>
      <c r="N53" s="14">
        <v>4</v>
      </c>
      <c r="O53" s="14">
        <v>33</v>
      </c>
      <c r="P53" s="14">
        <f t="shared" si="37"/>
        <v>0.21428571428571427</v>
      </c>
      <c r="Q53" s="14">
        <f t="shared" si="38"/>
        <v>0.69230769230769229</v>
      </c>
      <c r="R53" s="14">
        <f t="shared" si="39"/>
        <v>0.32727272727272727</v>
      </c>
      <c r="S53" s="21"/>
    </row>
    <row r="54" spans="1:19" x14ac:dyDescent="0.25">
      <c r="A54" s="23"/>
      <c r="B54" s="13" t="s">
        <v>16</v>
      </c>
      <c r="C54" s="14">
        <v>3</v>
      </c>
      <c r="D54" s="14">
        <v>1</v>
      </c>
      <c r="E54" s="14">
        <v>9</v>
      </c>
      <c r="F54" s="14">
        <f t="shared" si="34"/>
        <v>0.25</v>
      </c>
      <c r="G54" s="14">
        <f t="shared" si="35"/>
        <v>0.75</v>
      </c>
      <c r="H54" s="14">
        <f t="shared" si="36"/>
        <v>0.375</v>
      </c>
      <c r="I54" s="21"/>
      <c r="K54" s="23"/>
      <c r="L54" s="13" t="s">
        <v>16</v>
      </c>
      <c r="M54" s="14">
        <v>2</v>
      </c>
      <c r="N54" s="14">
        <v>2</v>
      </c>
      <c r="O54" s="14">
        <v>14</v>
      </c>
      <c r="P54" s="14">
        <f t="shared" si="37"/>
        <v>0.125</v>
      </c>
      <c r="Q54" s="14">
        <f t="shared" si="38"/>
        <v>0.5</v>
      </c>
      <c r="R54" s="14">
        <f t="shared" si="39"/>
        <v>0.2</v>
      </c>
      <c r="S54" s="21"/>
    </row>
    <row r="55" spans="1:19" x14ac:dyDescent="0.25">
      <c r="A55" s="23"/>
      <c r="B55" s="13" t="s">
        <v>17</v>
      </c>
      <c r="C55" s="14">
        <v>3</v>
      </c>
      <c r="D55" s="14">
        <v>3</v>
      </c>
      <c r="E55" s="14">
        <v>14</v>
      </c>
      <c r="F55" s="14">
        <f t="shared" si="34"/>
        <v>0.17647058823529413</v>
      </c>
      <c r="G55" s="14">
        <f t="shared" si="35"/>
        <v>0.5</v>
      </c>
      <c r="H55" s="14">
        <f t="shared" si="36"/>
        <v>0.2608695652173913</v>
      </c>
      <c r="I55" s="21"/>
      <c r="K55" s="23"/>
      <c r="L55" s="13" t="s">
        <v>17</v>
      </c>
      <c r="M55" s="14">
        <v>4</v>
      </c>
      <c r="N55" s="14">
        <v>6</v>
      </c>
      <c r="O55" s="14">
        <v>25</v>
      </c>
      <c r="P55" s="14">
        <f t="shared" si="37"/>
        <v>0.13793103448275862</v>
      </c>
      <c r="Q55" s="14">
        <f t="shared" si="38"/>
        <v>0.4</v>
      </c>
      <c r="R55" s="14">
        <f t="shared" si="39"/>
        <v>0.20512820512820515</v>
      </c>
      <c r="S55" s="21"/>
    </row>
    <row r="56" spans="1:19" x14ac:dyDescent="0.25">
      <c r="A56" s="23"/>
      <c r="B56" s="13" t="s">
        <v>18</v>
      </c>
      <c r="C56" s="14">
        <v>2</v>
      </c>
      <c r="D56" s="14">
        <v>1</v>
      </c>
      <c r="E56" s="14">
        <v>0</v>
      </c>
      <c r="F56" s="14">
        <f t="shared" si="34"/>
        <v>1</v>
      </c>
      <c r="G56" s="14">
        <f t="shared" si="35"/>
        <v>0.66666666666666663</v>
      </c>
      <c r="H56" s="14">
        <f t="shared" si="36"/>
        <v>0.8</v>
      </c>
      <c r="I56" s="21"/>
      <c r="K56" s="23"/>
      <c r="L56" s="13" t="s">
        <v>18</v>
      </c>
      <c r="M56" s="14">
        <v>1</v>
      </c>
      <c r="N56" s="14">
        <v>2</v>
      </c>
      <c r="O56" s="14">
        <v>2</v>
      </c>
      <c r="P56" s="14">
        <f t="shared" si="37"/>
        <v>0.33333333333333331</v>
      </c>
      <c r="Q56" s="14">
        <f t="shared" si="38"/>
        <v>0.33333333333333331</v>
      </c>
      <c r="R56" s="14">
        <f t="shared" si="39"/>
        <v>0.33333333333333331</v>
      </c>
      <c r="S56" s="21"/>
    </row>
    <row r="57" spans="1:19" x14ac:dyDescent="0.25">
      <c r="A57" s="23"/>
      <c r="B57" s="13" t="s">
        <v>19</v>
      </c>
      <c r="C57" s="15" t="s">
        <v>48</v>
      </c>
      <c r="D57" s="15" t="s">
        <v>48</v>
      </c>
      <c r="E57" s="15" t="s">
        <v>48</v>
      </c>
      <c r="F57" s="15" t="s">
        <v>25</v>
      </c>
      <c r="G57" s="15" t="s">
        <v>25</v>
      </c>
      <c r="H57" s="15" t="s">
        <v>25</v>
      </c>
      <c r="I57" s="21"/>
      <c r="K57" s="23"/>
      <c r="L57" s="13" t="s">
        <v>19</v>
      </c>
      <c r="M57" s="15" t="s">
        <v>25</v>
      </c>
      <c r="N57" s="15" t="s">
        <v>25</v>
      </c>
      <c r="O57" s="15" t="s">
        <v>25</v>
      </c>
      <c r="P57" s="15" t="s">
        <v>25</v>
      </c>
      <c r="Q57" s="15" t="s">
        <v>25</v>
      </c>
      <c r="R57" s="15" t="s">
        <v>25</v>
      </c>
      <c r="S57" s="21"/>
    </row>
    <row r="58" spans="1:19" x14ac:dyDescent="0.25">
      <c r="A58" s="23"/>
      <c r="B58" s="13" t="s">
        <v>20</v>
      </c>
      <c r="C58" s="14">
        <v>0</v>
      </c>
      <c r="D58" s="14">
        <v>1</v>
      </c>
      <c r="E58" s="14">
        <v>0</v>
      </c>
      <c r="F58" s="14">
        <f t="shared" ref="F58:F67" si="42">IFERROR(C58/(C58+E58), 0)</f>
        <v>0</v>
      </c>
      <c r="G58" s="14">
        <f t="shared" ref="G58:G67" si="43">IFERROR(C58/(C58+D58), 0)</f>
        <v>0</v>
      </c>
      <c r="H58" s="14">
        <f t="shared" ref="H58:H67" si="44">IFERROR(2*(F58*G58)/(F58+G58), 0)</f>
        <v>0</v>
      </c>
      <c r="I58" s="21"/>
      <c r="K58" s="23"/>
      <c r="L58" s="13" t="s">
        <v>20</v>
      </c>
      <c r="M58" s="14">
        <v>0</v>
      </c>
      <c r="N58" s="14">
        <v>1</v>
      </c>
      <c r="O58" s="14">
        <v>0</v>
      </c>
      <c r="P58" s="14">
        <f t="shared" ref="P58:P67" si="45">IFERROR(M58/(M58+O58), 0)</f>
        <v>0</v>
      </c>
      <c r="Q58" s="14">
        <f t="shared" ref="Q58:Q67" si="46">IFERROR(M58/(M58+N58), 0)</f>
        <v>0</v>
      </c>
      <c r="R58" s="14">
        <f t="shared" ref="R58:R67" si="47">IFERROR(2*(P58*Q58)/(P58+Q58), 0)</f>
        <v>0</v>
      </c>
      <c r="S58" s="21"/>
    </row>
    <row r="59" spans="1:19" x14ac:dyDescent="0.25">
      <c r="A59" s="24"/>
      <c r="B59" s="13" t="s">
        <v>21</v>
      </c>
      <c r="C59" s="14">
        <f t="shared" ref="C59:E59" si="48">SUM(C52:C58)</f>
        <v>20</v>
      </c>
      <c r="D59" s="14">
        <f t="shared" si="48"/>
        <v>17</v>
      </c>
      <c r="E59" s="14">
        <f t="shared" si="48"/>
        <v>45</v>
      </c>
      <c r="F59" s="14">
        <f t="shared" si="42"/>
        <v>0.30769230769230771</v>
      </c>
      <c r="G59" s="14">
        <f t="shared" si="43"/>
        <v>0.54054054054054057</v>
      </c>
      <c r="H59" s="14">
        <f t="shared" si="44"/>
        <v>0.39215686274509803</v>
      </c>
      <c r="I59" s="21"/>
      <c r="K59" s="24"/>
      <c r="L59" s="13" t="s">
        <v>21</v>
      </c>
      <c r="M59" s="14">
        <f t="shared" ref="M59:O59" si="49">SUM(M52:M58)</f>
        <v>25</v>
      </c>
      <c r="N59" s="14">
        <f t="shared" si="49"/>
        <v>15</v>
      </c>
      <c r="O59" s="14">
        <f t="shared" si="49"/>
        <v>80</v>
      </c>
      <c r="P59" s="14">
        <f t="shared" si="45"/>
        <v>0.23809523809523808</v>
      </c>
      <c r="Q59" s="14">
        <f t="shared" si="46"/>
        <v>0.625</v>
      </c>
      <c r="R59" s="14">
        <f t="shared" si="47"/>
        <v>0.34482758620689652</v>
      </c>
      <c r="S59" s="21"/>
    </row>
    <row r="60" spans="1:19" x14ac:dyDescent="0.25">
      <c r="A60" s="22" t="s">
        <v>86</v>
      </c>
      <c r="B60" s="13" t="s">
        <v>12</v>
      </c>
      <c r="C60" s="14">
        <v>6</v>
      </c>
      <c r="D60" s="14">
        <v>11</v>
      </c>
      <c r="E60" s="14">
        <v>12</v>
      </c>
      <c r="F60" s="14">
        <f t="shared" si="42"/>
        <v>0.33333333333333331</v>
      </c>
      <c r="G60" s="14">
        <f t="shared" si="43"/>
        <v>0.35294117647058826</v>
      </c>
      <c r="H60" s="14">
        <f t="shared" si="44"/>
        <v>0.34285714285714286</v>
      </c>
      <c r="I60" s="25" t="s">
        <v>69</v>
      </c>
      <c r="K60" s="22" t="s">
        <v>86</v>
      </c>
      <c r="L60" s="13" t="s">
        <v>12</v>
      </c>
      <c r="M60" s="14">
        <v>17</v>
      </c>
      <c r="N60" s="14">
        <v>0</v>
      </c>
      <c r="O60" s="14">
        <v>4</v>
      </c>
      <c r="P60" s="14">
        <f t="shared" si="45"/>
        <v>0.80952380952380953</v>
      </c>
      <c r="Q60" s="14">
        <f t="shared" si="46"/>
        <v>1</v>
      </c>
      <c r="R60" s="14">
        <f t="shared" si="47"/>
        <v>0.89473684210526316</v>
      </c>
      <c r="S60" s="25" t="s">
        <v>87</v>
      </c>
    </row>
    <row r="61" spans="1:19" x14ac:dyDescent="0.25">
      <c r="A61" s="23"/>
      <c r="B61" s="13" t="s">
        <v>15</v>
      </c>
      <c r="C61" s="14">
        <v>8</v>
      </c>
      <c r="D61" s="14">
        <v>24</v>
      </c>
      <c r="E61" s="14">
        <v>78</v>
      </c>
      <c r="F61" s="14">
        <f t="shared" si="42"/>
        <v>9.3023255813953487E-2</v>
      </c>
      <c r="G61" s="14">
        <f t="shared" si="43"/>
        <v>0.25</v>
      </c>
      <c r="H61" s="14">
        <f t="shared" si="44"/>
        <v>0.13559322033898305</v>
      </c>
      <c r="I61" s="21"/>
      <c r="K61" s="23"/>
      <c r="L61" s="13" t="s">
        <v>15</v>
      </c>
      <c r="M61" s="14">
        <v>36</v>
      </c>
      <c r="N61" s="14">
        <v>4</v>
      </c>
      <c r="O61" s="14">
        <v>77</v>
      </c>
      <c r="P61" s="14">
        <f t="shared" si="45"/>
        <v>0.31858407079646017</v>
      </c>
      <c r="Q61" s="14">
        <f t="shared" si="46"/>
        <v>0.9</v>
      </c>
      <c r="R61" s="14">
        <f t="shared" si="47"/>
        <v>0.4705882352941177</v>
      </c>
      <c r="S61" s="21"/>
    </row>
    <row r="62" spans="1:19" x14ac:dyDescent="0.25">
      <c r="A62" s="23"/>
      <c r="B62" s="13" t="s">
        <v>16</v>
      </c>
      <c r="C62" s="14">
        <v>2</v>
      </c>
      <c r="D62" s="14">
        <v>2</v>
      </c>
      <c r="E62" s="14">
        <v>24</v>
      </c>
      <c r="F62" s="14">
        <f t="shared" si="42"/>
        <v>7.6923076923076927E-2</v>
      </c>
      <c r="G62" s="14">
        <f t="shared" si="43"/>
        <v>0.5</v>
      </c>
      <c r="H62" s="14">
        <f t="shared" si="44"/>
        <v>0.13333333333333336</v>
      </c>
      <c r="I62" s="21"/>
      <c r="K62" s="23"/>
      <c r="L62" s="13" t="s">
        <v>16</v>
      </c>
      <c r="M62" s="14">
        <v>1</v>
      </c>
      <c r="N62" s="14">
        <v>3</v>
      </c>
      <c r="O62" s="14">
        <v>52</v>
      </c>
      <c r="P62" s="14">
        <f t="shared" si="45"/>
        <v>1.8867924528301886E-2</v>
      </c>
      <c r="Q62" s="14">
        <f t="shared" si="46"/>
        <v>0.25</v>
      </c>
      <c r="R62" s="14">
        <f t="shared" si="47"/>
        <v>3.5087719298245612E-2</v>
      </c>
      <c r="S62" s="21"/>
    </row>
    <row r="63" spans="1:19" x14ac:dyDescent="0.25">
      <c r="A63" s="23"/>
      <c r="B63" s="13" t="s">
        <v>17</v>
      </c>
      <c r="C63" s="14">
        <v>5</v>
      </c>
      <c r="D63" s="14">
        <v>18</v>
      </c>
      <c r="E63" s="14">
        <v>69</v>
      </c>
      <c r="F63" s="14">
        <f t="shared" si="42"/>
        <v>6.7567567567567571E-2</v>
      </c>
      <c r="G63" s="14">
        <f t="shared" si="43"/>
        <v>0.21739130434782608</v>
      </c>
      <c r="H63" s="14">
        <f t="shared" si="44"/>
        <v>0.10309278350515463</v>
      </c>
      <c r="I63" s="21"/>
      <c r="K63" s="23"/>
      <c r="L63" s="13" t="s">
        <v>17</v>
      </c>
      <c r="M63" s="14">
        <v>20</v>
      </c>
      <c r="N63" s="14">
        <v>5</v>
      </c>
      <c r="O63" s="14">
        <v>72</v>
      </c>
      <c r="P63" s="14">
        <f t="shared" si="45"/>
        <v>0.21739130434782608</v>
      </c>
      <c r="Q63" s="14">
        <f t="shared" si="46"/>
        <v>0.8</v>
      </c>
      <c r="R63" s="14">
        <f t="shared" si="47"/>
        <v>0.34188034188034183</v>
      </c>
      <c r="S63" s="21"/>
    </row>
    <row r="64" spans="1:19" x14ac:dyDescent="0.25">
      <c r="A64" s="23"/>
      <c r="B64" s="13" t="s">
        <v>18</v>
      </c>
      <c r="C64" s="14">
        <v>3</v>
      </c>
      <c r="D64" s="14">
        <v>2</v>
      </c>
      <c r="E64" s="14">
        <v>2</v>
      </c>
      <c r="F64" s="14">
        <f t="shared" si="42"/>
        <v>0.6</v>
      </c>
      <c r="G64" s="14">
        <f t="shared" si="43"/>
        <v>0.6</v>
      </c>
      <c r="H64" s="14">
        <f t="shared" si="44"/>
        <v>0.6</v>
      </c>
      <c r="I64" s="21"/>
      <c r="K64" s="23"/>
      <c r="L64" s="13" t="s">
        <v>18</v>
      </c>
      <c r="M64" s="14">
        <v>4</v>
      </c>
      <c r="N64" s="14">
        <v>0</v>
      </c>
      <c r="O64" s="14">
        <v>4</v>
      </c>
      <c r="P64" s="14">
        <f t="shared" si="45"/>
        <v>0.5</v>
      </c>
      <c r="Q64" s="14">
        <f t="shared" si="46"/>
        <v>1</v>
      </c>
      <c r="R64" s="14">
        <f t="shared" si="47"/>
        <v>0.66666666666666663</v>
      </c>
      <c r="S64" s="21"/>
    </row>
    <row r="65" spans="1:19" x14ac:dyDescent="0.25">
      <c r="A65" s="23"/>
      <c r="B65" s="13" t="s">
        <v>19</v>
      </c>
      <c r="C65" s="14">
        <v>1</v>
      </c>
      <c r="D65" s="14">
        <v>1</v>
      </c>
      <c r="E65" s="14">
        <v>1</v>
      </c>
      <c r="F65" s="14">
        <f t="shared" si="42"/>
        <v>0.5</v>
      </c>
      <c r="G65" s="14">
        <f t="shared" si="43"/>
        <v>0.5</v>
      </c>
      <c r="H65" s="14">
        <f t="shared" si="44"/>
        <v>0.5</v>
      </c>
      <c r="I65" s="21"/>
      <c r="K65" s="23"/>
      <c r="L65" s="13" t="s">
        <v>19</v>
      </c>
      <c r="M65" s="14">
        <v>2</v>
      </c>
      <c r="N65" s="14">
        <v>0</v>
      </c>
      <c r="O65" s="14">
        <v>1</v>
      </c>
      <c r="P65" s="14">
        <f t="shared" si="45"/>
        <v>0.66666666666666663</v>
      </c>
      <c r="Q65" s="14">
        <f t="shared" si="46"/>
        <v>1</v>
      </c>
      <c r="R65" s="14">
        <f t="shared" si="47"/>
        <v>0.8</v>
      </c>
      <c r="S65" s="21"/>
    </row>
    <row r="66" spans="1:19" x14ac:dyDescent="0.25">
      <c r="A66" s="23"/>
      <c r="B66" s="13" t="s">
        <v>20</v>
      </c>
      <c r="C66" s="14">
        <v>1</v>
      </c>
      <c r="D66" s="14">
        <v>0</v>
      </c>
      <c r="E66" s="14">
        <v>1</v>
      </c>
      <c r="F66" s="14">
        <f t="shared" si="42"/>
        <v>0.5</v>
      </c>
      <c r="G66" s="14">
        <f t="shared" si="43"/>
        <v>1</v>
      </c>
      <c r="H66" s="14">
        <f t="shared" si="44"/>
        <v>0.66666666666666663</v>
      </c>
      <c r="I66" s="21"/>
      <c r="K66" s="23"/>
      <c r="L66" s="13" t="s">
        <v>20</v>
      </c>
      <c r="M66" s="14">
        <v>1</v>
      </c>
      <c r="N66" s="14">
        <v>0</v>
      </c>
      <c r="O66" s="14">
        <v>0</v>
      </c>
      <c r="P66" s="14">
        <f t="shared" si="45"/>
        <v>1</v>
      </c>
      <c r="Q66" s="14">
        <f t="shared" si="46"/>
        <v>1</v>
      </c>
      <c r="R66" s="14">
        <f t="shared" si="47"/>
        <v>1</v>
      </c>
      <c r="S66" s="21"/>
    </row>
    <row r="67" spans="1:19" x14ac:dyDescent="0.25">
      <c r="A67" s="24"/>
      <c r="B67" s="13" t="s">
        <v>21</v>
      </c>
      <c r="C67" s="11">
        <f t="shared" ref="C67:E67" si="50">SUM(C59:C66)</f>
        <v>46</v>
      </c>
      <c r="D67" s="11">
        <f t="shared" si="50"/>
        <v>75</v>
      </c>
      <c r="E67" s="11">
        <f t="shared" si="50"/>
        <v>232</v>
      </c>
      <c r="F67" s="14">
        <f t="shared" si="42"/>
        <v>0.16546762589928057</v>
      </c>
      <c r="G67" s="14">
        <f t="shared" si="43"/>
        <v>0.38016528925619836</v>
      </c>
      <c r="H67" s="14">
        <f t="shared" si="44"/>
        <v>0.23057644110275691</v>
      </c>
      <c r="I67" s="21"/>
      <c r="K67" s="24"/>
      <c r="L67" s="13" t="s">
        <v>21</v>
      </c>
      <c r="M67" s="11">
        <f t="shared" ref="M67:O67" si="51">SUM(M60:M66)</f>
        <v>81</v>
      </c>
      <c r="N67" s="11">
        <f t="shared" si="51"/>
        <v>12</v>
      </c>
      <c r="O67" s="11">
        <f t="shared" si="51"/>
        <v>210</v>
      </c>
      <c r="P67" s="14">
        <f t="shared" si="45"/>
        <v>0.27835051546391754</v>
      </c>
      <c r="Q67" s="14">
        <f t="shared" si="46"/>
        <v>0.87096774193548387</v>
      </c>
      <c r="R67" s="14">
        <f t="shared" si="47"/>
        <v>0.421875</v>
      </c>
      <c r="S67" s="21"/>
    </row>
  </sheetData>
  <mergeCells count="32">
    <mergeCell ref="I20:I27"/>
    <mergeCell ref="K20:K27"/>
    <mergeCell ref="A28:A35"/>
    <mergeCell ref="K28:K35"/>
    <mergeCell ref="K36:K43"/>
    <mergeCell ref="A36:A43"/>
    <mergeCell ref="A44:A51"/>
    <mergeCell ref="A52:A59"/>
    <mergeCell ref="A60:A67"/>
    <mergeCell ref="A12:A19"/>
    <mergeCell ref="A20:A27"/>
    <mergeCell ref="S60:S67"/>
    <mergeCell ref="I28:I35"/>
    <mergeCell ref="I36:I43"/>
    <mergeCell ref="I44:I51"/>
    <mergeCell ref="K44:K51"/>
    <mergeCell ref="I52:I59"/>
    <mergeCell ref="K52:K59"/>
    <mergeCell ref="I60:I67"/>
    <mergeCell ref="K60:K67"/>
    <mergeCell ref="S20:S27"/>
    <mergeCell ref="S28:S35"/>
    <mergeCell ref="S36:S43"/>
    <mergeCell ref="S44:S51"/>
    <mergeCell ref="S52:S59"/>
    <mergeCell ref="A4:A11"/>
    <mergeCell ref="I4:I11"/>
    <mergeCell ref="K4:K11"/>
    <mergeCell ref="S4:S11"/>
    <mergeCell ref="I12:I19"/>
    <mergeCell ref="K12:K19"/>
    <mergeCell ref="S12:S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S68"/>
  <sheetViews>
    <sheetView workbookViewId="0"/>
  </sheetViews>
  <sheetFormatPr defaultColWidth="12.6640625" defaultRowHeight="15.75" customHeight="1" x14ac:dyDescent="0.25"/>
  <cols>
    <col min="1" max="1" width="18.33203125" customWidth="1"/>
    <col min="2" max="2" width="14.77734375" customWidth="1"/>
    <col min="9" max="9" width="69.44140625" customWidth="1"/>
    <col min="11" max="11" width="23.77734375" customWidth="1"/>
    <col min="12" max="12" width="14.77734375" customWidth="1"/>
    <col min="19" max="19" width="69.44140625" customWidth="1"/>
  </cols>
  <sheetData>
    <row r="3" spans="1:19" x14ac:dyDescent="0.25">
      <c r="A3" s="1" t="s">
        <v>88</v>
      </c>
      <c r="B3" s="1"/>
      <c r="C3" s="1"/>
      <c r="D3" s="1"/>
      <c r="E3" s="1"/>
      <c r="F3" s="1"/>
      <c r="G3" s="1"/>
      <c r="H3" s="1"/>
      <c r="I3" s="1"/>
      <c r="K3" s="1" t="s">
        <v>89</v>
      </c>
      <c r="L3" s="1"/>
      <c r="M3" s="1"/>
      <c r="N3" s="1"/>
      <c r="O3" s="1"/>
      <c r="P3" s="1"/>
      <c r="Q3" s="1"/>
      <c r="R3" s="1"/>
      <c r="S3" s="1"/>
    </row>
    <row r="4" spans="1:19" x14ac:dyDescent="0.2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2" t="s">
        <v>10</v>
      </c>
      <c r="K4" s="12" t="s">
        <v>2</v>
      </c>
      <c r="L4" s="12" t="s">
        <v>3</v>
      </c>
      <c r="M4" s="12" t="s">
        <v>4</v>
      </c>
      <c r="N4" s="12" t="s">
        <v>5</v>
      </c>
      <c r="O4" s="12" t="s">
        <v>6</v>
      </c>
      <c r="P4" s="12" t="s">
        <v>7</v>
      </c>
      <c r="Q4" s="12" t="s">
        <v>8</v>
      </c>
      <c r="R4" s="12" t="s">
        <v>9</v>
      </c>
      <c r="S4" s="2" t="s">
        <v>10</v>
      </c>
    </row>
    <row r="5" spans="1:19" x14ac:dyDescent="0.25">
      <c r="A5" s="22" t="s">
        <v>90</v>
      </c>
      <c r="B5" s="13" t="s">
        <v>12</v>
      </c>
      <c r="C5" s="14">
        <v>7</v>
      </c>
      <c r="D5" s="14">
        <v>2</v>
      </c>
      <c r="E5" s="14">
        <v>1</v>
      </c>
      <c r="F5" s="14">
        <f t="shared" ref="F5:F15" si="0">IFERROR(C5/(C5+E5), 0)</f>
        <v>0.875</v>
      </c>
      <c r="G5" s="14">
        <f t="shared" ref="G5:G15" si="1">IFERROR(C5/(C5+D5), 0)</f>
        <v>0.77777777777777779</v>
      </c>
      <c r="H5" s="14">
        <f t="shared" ref="H5:H15" si="2">IFERROR(2*(F5*G5)/(F5+G5), 0)</f>
        <v>0.82352941176470595</v>
      </c>
      <c r="I5" s="20" t="s">
        <v>91</v>
      </c>
      <c r="K5" s="22" t="s">
        <v>92</v>
      </c>
      <c r="L5" s="13" t="s">
        <v>12</v>
      </c>
      <c r="M5" s="14">
        <v>6</v>
      </c>
      <c r="N5" s="14">
        <v>3</v>
      </c>
      <c r="O5" s="14">
        <v>0</v>
      </c>
      <c r="P5" s="14">
        <f t="shared" ref="P5:P15" si="3">IFERROR(M5/(M5+O5), 0)</f>
        <v>1</v>
      </c>
      <c r="Q5" s="14">
        <f t="shared" ref="Q5:Q15" si="4">IFERROR(M5/(M5+N5), 0)</f>
        <v>0.66666666666666663</v>
      </c>
      <c r="R5" s="14">
        <f t="shared" ref="R5:R15" si="5">IFERROR(2*(P5*Q5)/(P5+Q5), 0)</f>
        <v>0.8</v>
      </c>
      <c r="S5" s="20" t="s">
        <v>91</v>
      </c>
    </row>
    <row r="6" spans="1:19" x14ac:dyDescent="0.25">
      <c r="A6" s="23"/>
      <c r="B6" s="13" t="s">
        <v>15</v>
      </c>
      <c r="C6" s="14">
        <v>10</v>
      </c>
      <c r="D6" s="14">
        <v>7</v>
      </c>
      <c r="E6" s="14">
        <v>0</v>
      </c>
      <c r="F6" s="14">
        <f t="shared" si="0"/>
        <v>1</v>
      </c>
      <c r="G6" s="14">
        <f t="shared" si="1"/>
        <v>0.58823529411764708</v>
      </c>
      <c r="H6" s="14">
        <f t="shared" si="2"/>
        <v>0.7407407407407407</v>
      </c>
      <c r="I6" s="21"/>
      <c r="K6" s="23"/>
      <c r="L6" s="13" t="s">
        <v>15</v>
      </c>
      <c r="M6" s="14">
        <v>12</v>
      </c>
      <c r="N6" s="14">
        <v>5</v>
      </c>
      <c r="O6" s="14">
        <v>0</v>
      </c>
      <c r="P6" s="14">
        <f t="shared" si="3"/>
        <v>1</v>
      </c>
      <c r="Q6" s="14">
        <f t="shared" si="4"/>
        <v>0.70588235294117652</v>
      </c>
      <c r="R6" s="14">
        <f t="shared" si="5"/>
        <v>0.82758620689655171</v>
      </c>
      <c r="S6" s="21"/>
    </row>
    <row r="7" spans="1:19" x14ac:dyDescent="0.25">
      <c r="A7" s="23"/>
      <c r="B7" s="13" t="s">
        <v>16</v>
      </c>
      <c r="C7" s="14">
        <v>2</v>
      </c>
      <c r="D7" s="14">
        <v>2</v>
      </c>
      <c r="E7" s="14">
        <v>2</v>
      </c>
      <c r="F7" s="14">
        <f t="shared" si="0"/>
        <v>0.5</v>
      </c>
      <c r="G7" s="14">
        <f t="shared" si="1"/>
        <v>0.5</v>
      </c>
      <c r="H7" s="14">
        <f t="shared" si="2"/>
        <v>0.5</v>
      </c>
      <c r="I7" s="21"/>
      <c r="K7" s="23"/>
      <c r="L7" s="13" t="s">
        <v>16</v>
      </c>
      <c r="M7" s="14">
        <v>2</v>
      </c>
      <c r="N7" s="14">
        <v>2</v>
      </c>
      <c r="O7" s="14">
        <v>0</v>
      </c>
      <c r="P7" s="14">
        <f t="shared" si="3"/>
        <v>1</v>
      </c>
      <c r="Q7" s="14">
        <f t="shared" si="4"/>
        <v>0.5</v>
      </c>
      <c r="R7" s="14">
        <f t="shared" si="5"/>
        <v>0.66666666666666663</v>
      </c>
      <c r="S7" s="21"/>
    </row>
    <row r="8" spans="1:19" x14ac:dyDescent="0.25">
      <c r="A8" s="23"/>
      <c r="B8" s="13" t="s">
        <v>17</v>
      </c>
      <c r="C8" s="14">
        <v>4</v>
      </c>
      <c r="D8" s="14">
        <v>3</v>
      </c>
      <c r="E8" s="14">
        <v>6</v>
      </c>
      <c r="F8" s="14">
        <f t="shared" si="0"/>
        <v>0.4</v>
      </c>
      <c r="G8" s="14">
        <f t="shared" si="1"/>
        <v>0.5714285714285714</v>
      </c>
      <c r="H8" s="14">
        <f t="shared" si="2"/>
        <v>0.47058823529411764</v>
      </c>
      <c r="I8" s="21"/>
      <c r="K8" s="23"/>
      <c r="L8" s="13" t="s">
        <v>17</v>
      </c>
      <c r="M8" s="14">
        <v>6</v>
      </c>
      <c r="N8" s="14">
        <v>1</v>
      </c>
      <c r="O8" s="14">
        <v>5</v>
      </c>
      <c r="P8" s="14">
        <f t="shared" si="3"/>
        <v>0.54545454545454541</v>
      </c>
      <c r="Q8" s="14">
        <f t="shared" si="4"/>
        <v>0.8571428571428571</v>
      </c>
      <c r="R8" s="14">
        <f t="shared" si="5"/>
        <v>0.66666666666666652</v>
      </c>
      <c r="S8" s="21"/>
    </row>
    <row r="9" spans="1:19" x14ac:dyDescent="0.25">
      <c r="A9" s="23"/>
      <c r="B9" s="13" t="s">
        <v>18</v>
      </c>
      <c r="C9" s="14">
        <v>2</v>
      </c>
      <c r="D9" s="14">
        <v>0</v>
      </c>
      <c r="E9" s="14">
        <v>1</v>
      </c>
      <c r="F9" s="14">
        <f t="shared" si="0"/>
        <v>0.66666666666666663</v>
      </c>
      <c r="G9" s="14">
        <f t="shared" si="1"/>
        <v>1</v>
      </c>
      <c r="H9" s="14">
        <f t="shared" si="2"/>
        <v>0.8</v>
      </c>
      <c r="I9" s="21"/>
      <c r="K9" s="23"/>
      <c r="L9" s="13" t="s">
        <v>18</v>
      </c>
      <c r="M9" s="14">
        <v>2</v>
      </c>
      <c r="N9" s="14">
        <v>0</v>
      </c>
      <c r="O9" s="14">
        <v>1</v>
      </c>
      <c r="P9" s="14">
        <f t="shared" si="3"/>
        <v>0.66666666666666663</v>
      </c>
      <c r="Q9" s="14">
        <f t="shared" si="4"/>
        <v>1</v>
      </c>
      <c r="R9" s="14">
        <f t="shared" si="5"/>
        <v>0.8</v>
      </c>
      <c r="S9" s="21"/>
    </row>
    <row r="10" spans="1:19" x14ac:dyDescent="0.25">
      <c r="A10" s="23"/>
      <c r="B10" s="13" t="s">
        <v>19</v>
      </c>
      <c r="C10" s="14">
        <v>0</v>
      </c>
      <c r="D10" s="14">
        <v>2</v>
      </c>
      <c r="E10" s="14">
        <v>0</v>
      </c>
      <c r="F10" s="14">
        <f t="shared" si="0"/>
        <v>0</v>
      </c>
      <c r="G10" s="14">
        <f t="shared" si="1"/>
        <v>0</v>
      </c>
      <c r="H10" s="14">
        <f t="shared" si="2"/>
        <v>0</v>
      </c>
      <c r="I10" s="21"/>
      <c r="K10" s="23"/>
      <c r="L10" s="13" t="s">
        <v>19</v>
      </c>
      <c r="M10" s="14">
        <v>0</v>
      </c>
      <c r="N10" s="14">
        <v>2</v>
      </c>
      <c r="O10" s="14">
        <v>0</v>
      </c>
      <c r="P10" s="14">
        <f t="shared" si="3"/>
        <v>0</v>
      </c>
      <c r="Q10" s="14">
        <f t="shared" si="4"/>
        <v>0</v>
      </c>
      <c r="R10" s="14">
        <f t="shared" si="5"/>
        <v>0</v>
      </c>
      <c r="S10" s="21"/>
    </row>
    <row r="11" spans="1:19" x14ac:dyDescent="0.25">
      <c r="A11" s="23"/>
      <c r="B11" s="13" t="s">
        <v>20</v>
      </c>
      <c r="C11" s="14">
        <v>0</v>
      </c>
      <c r="D11" s="14">
        <v>1</v>
      </c>
      <c r="E11" s="14">
        <v>0</v>
      </c>
      <c r="F11" s="14">
        <f t="shared" si="0"/>
        <v>0</v>
      </c>
      <c r="G11" s="14">
        <f t="shared" si="1"/>
        <v>0</v>
      </c>
      <c r="H11" s="14">
        <f t="shared" si="2"/>
        <v>0</v>
      </c>
      <c r="I11" s="21"/>
      <c r="K11" s="23"/>
      <c r="L11" s="13" t="s">
        <v>20</v>
      </c>
      <c r="M11" s="14">
        <v>0</v>
      </c>
      <c r="N11" s="14">
        <v>1</v>
      </c>
      <c r="O11" s="14">
        <v>0</v>
      </c>
      <c r="P11" s="14">
        <f t="shared" si="3"/>
        <v>0</v>
      </c>
      <c r="Q11" s="14">
        <f t="shared" si="4"/>
        <v>0</v>
      </c>
      <c r="R11" s="14">
        <f t="shared" si="5"/>
        <v>0</v>
      </c>
      <c r="S11" s="21"/>
    </row>
    <row r="12" spans="1:19" x14ac:dyDescent="0.25">
      <c r="A12" s="24"/>
      <c r="B12" s="13" t="s">
        <v>21</v>
      </c>
      <c r="C12" s="14">
        <f t="shared" ref="C12:E12" si="6">SUM(C5:C11)</f>
        <v>25</v>
      </c>
      <c r="D12" s="14">
        <f t="shared" si="6"/>
        <v>17</v>
      </c>
      <c r="E12" s="14">
        <f t="shared" si="6"/>
        <v>10</v>
      </c>
      <c r="F12" s="14">
        <f t="shared" si="0"/>
        <v>0.7142857142857143</v>
      </c>
      <c r="G12" s="14">
        <f t="shared" si="1"/>
        <v>0.59523809523809523</v>
      </c>
      <c r="H12" s="14">
        <f t="shared" si="2"/>
        <v>0.64935064935064934</v>
      </c>
      <c r="I12" s="21"/>
      <c r="K12" s="24"/>
      <c r="L12" s="13" t="s">
        <v>21</v>
      </c>
      <c r="M12" s="14">
        <f t="shared" ref="M12:O12" si="7">SUM(M5:M11)</f>
        <v>28</v>
      </c>
      <c r="N12" s="14">
        <f t="shared" si="7"/>
        <v>14</v>
      </c>
      <c r="O12" s="14">
        <f t="shared" si="7"/>
        <v>6</v>
      </c>
      <c r="P12" s="14">
        <f t="shared" si="3"/>
        <v>0.82352941176470584</v>
      </c>
      <c r="Q12" s="14">
        <f t="shared" si="4"/>
        <v>0.66666666666666663</v>
      </c>
      <c r="R12" s="14">
        <f t="shared" si="5"/>
        <v>0.73684210526315774</v>
      </c>
      <c r="S12" s="21"/>
    </row>
    <row r="13" spans="1:19" x14ac:dyDescent="0.25">
      <c r="A13" s="22" t="s">
        <v>93</v>
      </c>
      <c r="B13" s="13" t="s">
        <v>12</v>
      </c>
      <c r="C13" s="14">
        <v>10</v>
      </c>
      <c r="D13" s="14">
        <v>1</v>
      </c>
      <c r="E13" s="14">
        <v>0</v>
      </c>
      <c r="F13" s="14">
        <f t="shared" si="0"/>
        <v>1</v>
      </c>
      <c r="G13" s="14">
        <f t="shared" si="1"/>
        <v>0.90909090909090906</v>
      </c>
      <c r="H13" s="14">
        <f t="shared" si="2"/>
        <v>0.95238095238095233</v>
      </c>
      <c r="I13" s="20" t="s">
        <v>94</v>
      </c>
      <c r="K13" s="22" t="s">
        <v>95</v>
      </c>
      <c r="L13" s="13" t="s">
        <v>12</v>
      </c>
      <c r="M13" s="14">
        <v>11</v>
      </c>
      <c r="N13" s="14">
        <v>1</v>
      </c>
      <c r="O13" s="14">
        <v>1</v>
      </c>
      <c r="P13" s="14">
        <f t="shared" si="3"/>
        <v>0.91666666666666663</v>
      </c>
      <c r="Q13" s="14">
        <f t="shared" si="4"/>
        <v>0.91666666666666663</v>
      </c>
      <c r="R13" s="14">
        <f t="shared" si="5"/>
        <v>0.91666666666666663</v>
      </c>
      <c r="S13" s="20" t="s">
        <v>94</v>
      </c>
    </row>
    <row r="14" spans="1:19" x14ac:dyDescent="0.25">
      <c r="A14" s="23"/>
      <c r="B14" s="13" t="s">
        <v>15</v>
      </c>
      <c r="C14" s="14">
        <v>10</v>
      </c>
      <c r="D14" s="14">
        <v>7</v>
      </c>
      <c r="E14" s="14">
        <v>4</v>
      </c>
      <c r="F14" s="14">
        <f t="shared" si="0"/>
        <v>0.7142857142857143</v>
      </c>
      <c r="G14" s="14">
        <f t="shared" si="1"/>
        <v>0.58823529411764708</v>
      </c>
      <c r="H14" s="14">
        <f t="shared" si="2"/>
        <v>0.64516129032258063</v>
      </c>
      <c r="I14" s="21"/>
      <c r="K14" s="23"/>
      <c r="L14" s="13" t="s">
        <v>15</v>
      </c>
      <c r="M14" s="14">
        <v>15</v>
      </c>
      <c r="N14" s="14">
        <v>2</v>
      </c>
      <c r="O14" s="14">
        <v>2</v>
      </c>
      <c r="P14" s="14">
        <f t="shared" si="3"/>
        <v>0.88235294117647056</v>
      </c>
      <c r="Q14" s="14">
        <f t="shared" si="4"/>
        <v>0.88235294117647056</v>
      </c>
      <c r="R14" s="14">
        <f t="shared" si="5"/>
        <v>0.88235294117647056</v>
      </c>
      <c r="S14" s="21"/>
    </row>
    <row r="15" spans="1:19" x14ac:dyDescent="0.25">
      <c r="A15" s="23"/>
      <c r="B15" s="13" t="s">
        <v>16</v>
      </c>
      <c r="C15" s="14">
        <v>2</v>
      </c>
      <c r="D15" s="14">
        <v>2</v>
      </c>
      <c r="E15" s="14">
        <v>5</v>
      </c>
      <c r="F15" s="14">
        <f t="shared" si="0"/>
        <v>0.2857142857142857</v>
      </c>
      <c r="G15" s="14">
        <f t="shared" si="1"/>
        <v>0.5</v>
      </c>
      <c r="H15" s="14">
        <f t="shared" si="2"/>
        <v>0.36363636363636365</v>
      </c>
      <c r="I15" s="21"/>
      <c r="K15" s="23"/>
      <c r="L15" s="13" t="s">
        <v>16</v>
      </c>
      <c r="M15" s="14">
        <v>3</v>
      </c>
      <c r="N15" s="14">
        <v>1</v>
      </c>
      <c r="O15" s="14">
        <v>1</v>
      </c>
      <c r="P15" s="14">
        <f t="shared" si="3"/>
        <v>0.75</v>
      </c>
      <c r="Q15" s="14">
        <f t="shared" si="4"/>
        <v>0.75</v>
      </c>
      <c r="R15" s="14">
        <f t="shared" si="5"/>
        <v>0.75</v>
      </c>
      <c r="S15" s="21"/>
    </row>
    <row r="16" spans="1:19" x14ac:dyDescent="0.25">
      <c r="A16" s="23"/>
      <c r="B16" s="13" t="s">
        <v>17</v>
      </c>
      <c r="C16" s="15" t="s">
        <v>25</v>
      </c>
      <c r="D16" s="15" t="s">
        <v>25</v>
      </c>
      <c r="E16" s="15" t="s">
        <v>25</v>
      </c>
      <c r="F16" s="15" t="s">
        <v>25</v>
      </c>
      <c r="G16" s="15" t="s">
        <v>25</v>
      </c>
      <c r="H16" s="15" t="s">
        <v>25</v>
      </c>
      <c r="I16" s="21"/>
      <c r="K16" s="23"/>
      <c r="L16" s="13" t="s">
        <v>17</v>
      </c>
      <c r="M16" s="15" t="s">
        <v>25</v>
      </c>
      <c r="N16" s="15" t="s">
        <v>25</v>
      </c>
      <c r="O16" s="15" t="s">
        <v>25</v>
      </c>
      <c r="P16" s="15" t="s">
        <v>25</v>
      </c>
      <c r="Q16" s="15" t="s">
        <v>25</v>
      </c>
      <c r="R16" s="15" t="s">
        <v>25</v>
      </c>
      <c r="S16" s="21"/>
    </row>
    <row r="17" spans="1:19" x14ac:dyDescent="0.25">
      <c r="A17" s="23"/>
      <c r="B17" s="13" t="s">
        <v>18</v>
      </c>
      <c r="C17" s="14">
        <v>3</v>
      </c>
      <c r="D17" s="14">
        <v>0</v>
      </c>
      <c r="E17" s="14">
        <v>0</v>
      </c>
      <c r="F17" s="14">
        <f t="shared" ref="F17:F33" si="8">IFERROR(C17/(C17+E17), 0)</f>
        <v>1</v>
      </c>
      <c r="G17" s="14">
        <f t="shared" ref="G17:G33" si="9">IFERROR(C17/(C17+D17), 0)</f>
        <v>1</v>
      </c>
      <c r="H17" s="14">
        <f t="shared" ref="H17:H33" si="10">IFERROR(2*(F17*G17)/(F17+G17), 0)</f>
        <v>1</v>
      </c>
      <c r="I17" s="21"/>
      <c r="K17" s="23"/>
      <c r="L17" s="13" t="s">
        <v>18</v>
      </c>
      <c r="M17" s="14">
        <v>3</v>
      </c>
      <c r="N17" s="14">
        <v>0</v>
      </c>
      <c r="O17" s="14">
        <v>1</v>
      </c>
      <c r="P17" s="14">
        <f t="shared" ref="P17:P33" si="11">IFERROR(M17/(M17+O17), 0)</f>
        <v>0.75</v>
      </c>
      <c r="Q17" s="14">
        <f t="shared" ref="Q17:Q33" si="12">IFERROR(M17/(M17+N17), 0)</f>
        <v>1</v>
      </c>
      <c r="R17" s="14">
        <f t="shared" ref="R17:R33" si="13">IFERROR(2*(P17*Q17)/(P17+Q17), 0)</f>
        <v>0.8571428571428571</v>
      </c>
      <c r="S17" s="21"/>
    </row>
    <row r="18" spans="1:19" x14ac:dyDescent="0.25">
      <c r="A18" s="23"/>
      <c r="B18" s="13" t="s">
        <v>19</v>
      </c>
      <c r="C18" s="14">
        <v>2</v>
      </c>
      <c r="D18" s="14">
        <v>3</v>
      </c>
      <c r="E18" s="14">
        <v>0</v>
      </c>
      <c r="F18" s="14">
        <f t="shared" si="8"/>
        <v>1</v>
      </c>
      <c r="G18" s="14">
        <f t="shared" si="9"/>
        <v>0.4</v>
      </c>
      <c r="H18" s="14">
        <f t="shared" si="10"/>
        <v>0.57142857142857151</v>
      </c>
      <c r="I18" s="21"/>
      <c r="K18" s="23"/>
      <c r="L18" s="13" t="s">
        <v>19</v>
      </c>
      <c r="M18" s="14">
        <v>5</v>
      </c>
      <c r="N18" s="14">
        <v>0</v>
      </c>
      <c r="O18" s="14">
        <v>1</v>
      </c>
      <c r="P18" s="14">
        <f t="shared" si="11"/>
        <v>0.83333333333333337</v>
      </c>
      <c r="Q18" s="14">
        <f t="shared" si="12"/>
        <v>1</v>
      </c>
      <c r="R18" s="14">
        <f t="shared" si="13"/>
        <v>0.90909090909090906</v>
      </c>
      <c r="S18" s="21"/>
    </row>
    <row r="19" spans="1:19" x14ac:dyDescent="0.25">
      <c r="A19" s="23"/>
      <c r="B19" s="13" t="s">
        <v>20</v>
      </c>
      <c r="C19" s="14">
        <v>1</v>
      </c>
      <c r="D19" s="14">
        <v>0</v>
      </c>
      <c r="E19" s="14">
        <v>0</v>
      </c>
      <c r="F19" s="14">
        <f t="shared" si="8"/>
        <v>1</v>
      </c>
      <c r="G19" s="14">
        <f t="shared" si="9"/>
        <v>1</v>
      </c>
      <c r="H19" s="14">
        <f t="shared" si="10"/>
        <v>1</v>
      </c>
      <c r="I19" s="21"/>
      <c r="K19" s="23"/>
      <c r="L19" s="13" t="s">
        <v>20</v>
      </c>
      <c r="M19" s="14">
        <v>0</v>
      </c>
      <c r="N19" s="14">
        <v>1</v>
      </c>
      <c r="O19" s="14">
        <v>0</v>
      </c>
      <c r="P19" s="14">
        <f t="shared" si="11"/>
        <v>0</v>
      </c>
      <c r="Q19" s="14">
        <f t="shared" si="12"/>
        <v>0</v>
      </c>
      <c r="R19" s="14">
        <f t="shared" si="13"/>
        <v>0</v>
      </c>
      <c r="S19" s="21"/>
    </row>
    <row r="20" spans="1:19" x14ac:dyDescent="0.25">
      <c r="A20" s="24"/>
      <c r="B20" s="13" t="s">
        <v>21</v>
      </c>
      <c r="C20" s="14">
        <f t="shared" ref="C20:E20" si="14">SUM(C13:C19)</f>
        <v>28</v>
      </c>
      <c r="D20" s="14">
        <f t="shared" si="14"/>
        <v>13</v>
      </c>
      <c r="E20" s="14">
        <f t="shared" si="14"/>
        <v>9</v>
      </c>
      <c r="F20" s="14">
        <f t="shared" si="8"/>
        <v>0.7567567567567568</v>
      </c>
      <c r="G20" s="14">
        <f t="shared" si="9"/>
        <v>0.68292682926829273</v>
      </c>
      <c r="H20" s="14">
        <f t="shared" si="10"/>
        <v>0.71794871794871806</v>
      </c>
      <c r="I20" s="21"/>
      <c r="K20" s="24"/>
      <c r="L20" s="13" t="s">
        <v>21</v>
      </c>
      <c r="M20" s="14">
        <f t="shared" ref="M20:O20" si="15">SUM(M13:M19)</f>
        <v>37</v>
      </c>
      <c r="N20" s="14">
        <f t="shared" si="15"/>
        <v>5</v>
      </c>
      <c r="O20" s="14">
        <f t="shared" si="15"/>
        <v>6</v>
      </c>
      <c r="P20" s="14">
        <f t="shared" si="11"/>
        <v>0.86046511627906974</v>
      </c>
      <c r="Q20" s="14">
        <f t="shared" si="12"/>
        <v>0.88095238095238093</v>
      </c>
      <c r="R20" s="14">
        <f t="shared" si="13"/>
        <v>0.87058823529411766</v>
      </c>
      <c r="S20" s="21"/>
    </row>
    <row r="21" spans="1:19" x14ac:dyDescent="0.25">
      <c r="A21" s="22" t="s">
        <v>96</v>
      </c>
      <c r="B21" s="13" t="s">
        <v>12</v>
      </c>
      <c r="C21" s="14">
        <v>6</v>
      </c>
      <c r="D21" s="14">
        <v>3</v>
      </c>
      <c r="E21" s="14">
        <v>0</v>
      </c>
      <c r="F21" s="14">
        <f t="shared" si="8"/>
        <v>1</v>
      </c>
      <c r="G21" s="14">
        <f t="shared" si="9"/>
        <v>0.66666666666666663</v>
      </c>
      <c r="H21" s="14">
        <f t="shared" si="10"/>
        <v>0.8</v>
      </c>
      <c r="I21" s="20" t="s">
        <v>97</v>
      </c>
      <c r="K21" s="22" t="s">
        <v>98</v>
      </c>
      <c r="L21" s="13" t="s">
        <v>12</v>
      </c>
      <c r="M21" s="14">
        <v>7</v>
      </c>
      <c r="N21" s="14">
        <v>2</v>
      </c>
      <c r="O21" s="14">
        <v>0</v>
      </c>
      <c r="P21" s="14">
        <f t="shared" si="11"/>
        <v>1</v>
      </c>
      <c r="Q21" s="14">
        <f t="shared" si="12"/>
        <v>0.77777777777777779</v>
      </c>
      <c r="R21" s="14">
        <f t="shared" si="13"/>
        <v>0.87500000000000011</v>
      </c>
      <c r="S21" s="20" t="s">
        <v>97</v>
      </c>
    </row>
    <row r="22" spans="1:19" x14ac:dyDescent="0.25">
      <c r="A22" s="23"/>
      <c r="B22" s="13" t="s">
        <v>15</v>
      </c>
      <c r="C22" s="14">
        <v>10</v>
      </c>
      <c r="D22" s="14">
        <v>6</v>
      </c>
      <c r="E22" s="14">
        <v>3</v>
      </c>
      <c r="F22" s="14">
        <f t="shared" si="8"/>
        <v>0.76923076923076927</v>
      </c>
      <c r="G22" s="14">
        <f t="shared" si="9"/>
        <v>0.625</v>
      </c>
      <c r="H22" s="14">
        <f t="shared" si="10"/>
        <v>0.68965517241379315</v>
      </c>
      <c r="I22" s="21"/>
      <c r="K22" s="23"/>
      <c r="L22" s="13" t="s">
        <v>15</v>
      </c>
      <c r="M22" s="14">
        <v>10</v>
      </c>
      <c r="N22" s="14">
        <v>6</v>
      </c>
      <c r="O22" s="14">
        <v>4</v>
      </c>
      <c r="P22" s="14">
        <f t="shared" si="11"/>
        <v>0.7142857142857143</v>
      </c>
      <c r="Q22" s="14">
        <f t="shared" si="12"/>
        <v>0.625</v>
      </c>
      <c r="R22" s="14">
        <f t="shared" si="13"/>
        <v>0.66666666666666663</v>
      </c>
      <c r="S22" s="21"/>
    </row>
    <row r="23" spans="1:19" x14ac:dyDescent="0.25">
      <c r="A23" s="23"/>
      <c r="B23" s="13" t="s">
        <v>16</v>
      </c>
      <c r="C23" s="14">
        <v>2</v>
      </c>
      <c r="D23" s="14">
        <v>2</v>
      </c>
      <c r="E23" s="14">
        <v>0</v>
      </c>
      <c r="F23" s="14">
        <f t="shared" si="8"/>
        <v>1</v>
      </c>
      <c r="G23" s="14">
        <f t="shared" si="9"/>
        <v>0.5</v>
      </c>
      <c r="H23" s="14">
        <f t="shared" si="10"/>
        <v>0.66666666666666663</v>
      </c>
      <c r="I23" s="21"/>
      <c r="K23" s="23"/>
      <c r="L23" s="13" t="s">
        <v>16</v>
      </c>
      <c r="M23" s="14">
        <v>0</v>
      </c>
      <c r="N23" s="14">
        <v>4</v>
      </c>
      <c r="O23" s="14">
        <v>0</v>
      </c>
      <c r="P23" s="14">
        <f t="shared" si="11"/>
        <v>0</v>
      </c>
      <c r="Q23" s="14">
        <f t="shared" si="12"/>
        <v>0</v>
      </c>
      <c r="R23" s="14">
        <f t="shared" si="13"/>
        <v>0</v>
      </c>
      <c r="S23" s="21"/>
    </row>
    <row r="24" spans="1:19" x14ac:dyDescent="0.25">
      <c r="A24" s="23"/>
      <c r="B24" s="13" t="s">
        <v>17</v>
      </c>
      <c r="C24" s="14">
        <v>4</v>
      </c>
      <c r="D24" s="14">
        <v>2</v>
      </c>
      <c r="E24" s="14">
        <v>13</v>
      </c>
      <c r="F24" s="14">
        <f t="shared" si="8"/>
        <v>0.23529411764705882</v>
      </c>
      <c r="G24" s="14">
        <f t="shared" si="9"/>
        <v>0.66666666666666663</v>
      </c>
      <c r="H24" s="14">
        <f t="shared" si="10"/>
        <v>0.34782608695652178</v>
      </c>
      <c r="I24" s="21"/>
      <c r="K24" s="23"/>
      <c r="L24" s="13" t="s">
        <v>17</v>
      </c>
      <c r="M24" s="14">
        <v>4</v>
      </c>
      <c r="N24" s="14">
        <v>2</v>
      </c>
      <c r="O24" s="14">
        <v>15</v>
      </c>
      <c r="P24" s="14">
        <f t="shared" si="11"/>
        <v>0.21052631578947367</v>
      </c>
      <c r="Q24" s="14">
        <f t="shared" si="12"/>
        <v>0.66666666666666663</v>
      </c>
      <c r="R24" s="14">
        <f t="shared" si="13"/>
        <v>0.32</v>
      </c>
      <c r="S24" s="21"/>
    </row>
    <row r="25" spans="1:19" x14ac:dyDescent="0.25">
      <c r="A25" s="23"/>
      <c r="B25" s="13" t="s">
        <v>18</v>
      </c>
      <c r="C25" s="14">
        <v>2</v>
      </c>
      <c r="D25" s="14">
        <v>1</v>
      </c>
      <c r="E25" s="14">
        <v>0</v>
      </c>
      <c r="F25" s="14">
        <f t="shared" si="8"/>
        <v>1</v>
      </c>
      <c r="G25" s="14">
        <f t="shared" si="9"/>
        <v>0.66666666666666663</v>
      </c>
      <c r="H25" s="14">
        <f t="shared" si="10"/>
        <v>0.8</v>
      </c>
      <c r="I25" s="21"/>
      <c r="K25" s="23"/>
      <c r="L25" s="13" t="s">
        <v>18</v>
      </c>
      <c r="M25" s="14">
        <v>3</v>
      </c>
      <c r="N25" s="14">
        <v>0</v>
      </c>
      <c r="O25" s="14">
        <v>0</v>
      </c>
      <c r="P25" s="14">
        <f t="shared" si="11"/>
        <v>1</v>
      </c>
      <c r="Q25" s="14">
        <f t="shared" si="12"/>
        <v>1</v>
      </c>
      <c r="R25" s="14">
        <f t="shared" si="13"/>
        <v>1</v>
      </c>
      <c r="S25" s="21"/>
    </row>
    <row r="26" spans="1:19" x14ac:dyDescent="0.25">
      <c r="A26" s="23"/>
      <c r="B26" s="13" t="s">
        <v>19</v>
      </c>
      <c r="C26" s="14">
        <v>0</v>
      </c>
      <c r="D26" s="14">
        <v>2</v>
      </c>
      <c r="E26" s="14">
        <v>0</v>
      </c>
      <c r="F26" s="14">
        <f t="shared" si="8"/>
        <v>0</v>
      </c>
      <c r="G26" s="14">
        <f t="shared" si="9"/>
        <v>0</v>
      </c>
      <c r="H26" s="14">
        <f t="shared" si="10"/>
        <v>0</v>
      </c>
      <c r="I26" s="21"/>
      <c r="K26" s="23"/>
      <c r="L26" s="13" t="s">
        <v>19</v>
      </c>
      <c r="M26" s="14">
        <v>0</v>
      </c>
      <c r="N26" s="14">
        <v>2</v>
      </c>
      <c r="O26" s="14">
        <v>0</v>
      </c>
      <c r="P26" s="14">
        <f t="shared" si="11"/>
        <v>0</v>
      </c>
      <c r="Q26" s="14">
        <f t="shared" si="12"/>
        <v>0</v>
      </c>
      <c r="R26" s="14">
        <f t="shared" si="13"/>
        <v>0</v>
      </c>
      <c r="S26" s="21"/>
    </row>
    <row r="27" spans="1:19" x14ac:dyDescent="0.25">
      <c r="A27" s="23"/>
      <c r="B27" s="13" t="s">
        <v>20</v>
      </c>
      <c r="C27" s="14">
        <v>0</v>
      </c>
      <c r="D27" s="14">
        <v>1</v>
      </c>
      <c r="E27" s="14">
        <v>0</v>
      </c>
      <c r="F27" s="14">
        <f t="shared" si="8"/>
        <v>0</v>
      </c>
      <c r="G27" s="14">
        <f t="shared" si="9"/>
        <v>0</v>
      </c>
      <c r="H27" s="14">
        <f t="shared" si="10"/>
        <v>0</v>
      </c>
      <c r="I27" s="21"/>
      <c r="K27" s="23"/>
      <c r="L27" s="13" t="s">
        <v>20</v>
      </c>
      <c r="M27" s="14">
        <v>1</v>
      </c>
      <c r="N27" s="14">
        <v>0</v>
      </c>
      <c r="O27" s="14">
        <v>0</v>
      </c>
      <c r="P27" s="14">
        <f t="shared" si="11"/>
        <v>1</v>
      </c>
      <c r="Q27" s="14">
        <f t="shared" si="12"/>
        <v>1</v>
      </c>
      <c r="R27" s="14">
        <f t="shared" si="13"/>
        <v>1</v>
      </c>
      <c r="S27" s="21"/>
    </row>
    <row r="28" spans="1:19" x14ac:dyDescent="0.25">
      <c r="A28" s="24"/>
      <c r="B28" s="13" t="s">
        <v>21</v>
      </c>
      <c r="C28" s="14">
        <f t="shared" ref="C28:E28" si="16">SUM(C21:C27)</f>
        <v>24</v>
      </c>
      <c r="D28" s="14">
        <f t="shared" si="16"/>
        <v>17</v>
      </c>
      <c r="E28" s="14">
        <f t="shared" si="16"/>
        <v>16</v>
      </c>
      <c r="F28" s="14">
        <f t="shared" si="8"/>
        <v>0.6</v>
      </c>
      <c r="G28" s="14">
        <f t="shared" si="9"/>
        <v>0.58536585365853655</v>
      </c>
      <c r="H28" s="14">
        <f t="shared" si="10"/>
        <v>0.59259259259259256</v>
      </c>
      <c r="I28" s="21"/>
      <c r="K28" s="24"/>
      <c r="L28" s="13" t="s">
        <v>21</v>
      </c>
      <c r="M28" s="14">
        <f t="shared" ref="M28:O28" si="17">SUM(M21:M27)</f>
        <v>25</v>
      </c>
      <c r="N28" s="14">
        <f t="shared" si="17"/>
        <v>16</v>
      </c>
      <c r="O28" s="14">
        <f t="shared" si="17"/>
        <v>19</v>
      </c>
      <c r="P28" s="14">
        <f t="shared" si="11"/>
        <v>0.56818181818181823</v>
      </c>
      <c r="Q28" s="14">
        <f t="shared" si="12"/>
        <v>0.6097560975609756</v>
      </c>
      <c r="R28" s="14">
        <f t="shared" si="13"/>
        <v>0.58823529411764708</v>
      </c>
      <c r="S28" s="21"/>
    </row>
    <row r="29" spans="1:19" x14ac:dyDescent="0.25">
      <c r="A29" s="22" t="s">
        <v>99</v>
      </c>
      <c r="B29" s="13" t="s">
        <v>12</v>
      </c>
      <c r="C29" s="14">
        <v>8</v>
      </c>
      <c r="D29" s="14">
        <v>1</v>
      </c>
      <c r="E29" s="14">
        <v>0</v>
      </c>
      <c r="F29" s="14">
        <f t="shared" si="8"/>
        <v>1</v>
      </c>
      <c r="G29" s="14">
        <f t="shared" si="9"/>
        <v>0.88888888888888884</v>
      </c>
      <c r="H29" s="14">
        <f t="shared" si="10"/>
        <v>0.94117647058823528</v>
      </c>
      <c r="I29" s="20" t="s">
        <v>100</v>
      </c>
      <c r="K29" s="22" t="s">
        <v>101</v>
      </c>
      <c r="L29" s="13" t="s">
        <v>12</v>
      </c>
      <c r="M29" s="14">
        <v>8</v>
      </c>
      <c r="N29" s="14">
        <v>2</v>
      </c>
      <c r="O29" s="14">
        <v>0</v>
      </c>
      <c r="P29" s="14">
        <f t="shared" si="11"/>
        <v>1</v>
      </c>
      <c r="Q29" s="14">
        <f t="shared" si="12"/>
        <v>0.8</v>
      </c>
      <c r="R29" s="14">
        <f t="shared" si="13"/>
        <v>0.88888888888888895</v>
      </c>
      <c r="S29" s="20" t="s">
        <v>100</v>
      </c>
    </row>
    <row r="30" spans="1:19" x14ac:dyDescent="0.25">
      <c r="A30" s="23"/>
      <c r="B30" s="13" t="s">
        <v>15</v>
      </c>
      <c r="C30" s="14">
        <v>12</v>
      </c>
      <c r="D30" s="14">
        <v>5</v>
      </c>
      <c r="E30" s="14">
        <v>1</v>
      </c>
      <c r="F30" s="14">
        <f t="shared" si="8"/>
        <v>0.92307692307692313</v>
      </c>
      <c r="G30" s="14">
        <f t="shared" si="9"/>
        <v>0.70588235294117652</v>
      </c>
      <c r="H30" s="14">
        <f t="shared" si="10"/>
        <v>0.80000000000000016</v>
      </c>
      <c r="I30" s="21"/>
      <c r="K30" s="23"/>
      <c r="L30" s="13" t="s">
        <v>15</v>
      </c>
      <c r="M30" s="14">
        <v>11</v>
      </c>
      <c r="N30" s="14">
        <v>7</v>
      </c>
      <c r="O30" s="14">
        <v>1</v>
      </c>
      <c r="P30" s="14">
        <f t="shared" si="11"/>
        <v>0.91666666666666663</v>
      </c>
      <c r="Q30" s="14">
        <f t="shared" si="12"/>
        <v>0.61111111111111116</v>
      </c>
      <c r="R30" s="14">
        <f t="shared" si="13"/>
        <v>0.73333333333333339</v>
      </c>
      <c r="S30" s="21"/>
    </row>
    <row r="31" spans="1:19" x14ac:dyDescent="0.25">
      <c r="A31" s="23"/>
      <c r="B31" s="13" t="s">
        <v>16</v>
      </c>
      <c r="C31" s="14">
        <v>0</v>
      </c>
      <c r="D31" s="14">
        <v>7</v>
      </c>
      <c r="E31" s="14">
        <v>3</v>
      </c>
      <c r="F31" s="14">
        <f t="shared" si="8"/>
        <v>0</v>
      </c>
      <c r="G31" s="14">
        <f t="shared" si="9"/>
        <v>0</v>
      </c>
      <c r="H31" s="14">
        <f t="shared" si="10"/>
        <v>0</v>
      </c>
      <c r="I31" s="21"/>
      <c r="K31" s="23"/>
      <c r="L31" s="13" t="s">
        <v>16</v>
      </c>
      <c r="M31" s="14">
        <v>2</v>
      </c>
      <c r="N31" s="14">
        <v>5</v>
      </c>
      <c r="O31" s="14">
        <v>2</v>
      </c>
      <c r="P31" s="14">
        <f t="shared" si="11"/>
        <v>0.5</v>
      </c>
      <c r="Q31" s="14">
        <f t="shared" si="12"/>
        <v>0.2857142857142857</v>
      </c>
      <c r="R31" s="14">
        <f t="shared" si="13"/>
        <v>0.36363636363636365</v>
      </c>
      <c r="S31" s="21"/>
    </row>
    <row r="32" spans="1:19" x14ac:dyDescent="0.25">
      <c r="A32" s="23"/>
      <c r="B32" s="13" t="s">
        <v>17</v>
      </c>
      <c r="C32" s="14">
        <v>4</v>
      </c>
      <c r="D32" s="14">
        <v>2</v>
      </c>
      <c r="E32" s="14">
        <v>9</v>
      </c>
      <c r="F32" s="14">
        <f t="shared" si="8"/>
        <v>0.30769230769230771</v>
      </c>
      <c r="G32" s="14">
        <f t="shared" si="9"/>
        <v>0.66666666666666663</v>
      </c>
      <c r="H32" s="14">
        <f t="shared" si="10"/>
        <v>0.42105263157894735</v>
      </c>
      <c r="I32" s="21"/>
      <c r="K32" s="23"/>
      <c r="L32" s="13" t="s">
        <v>17</v>
      </c>
      <c r="M32" s="14">
        <v>4</v>
      </c>
      <c r="N32" s="14">
        <v>2</v>
      </c>
      <c r="O32" s="14">
        <v>9</v>
      </c>
      <c r="P32" s="14">
        <f t="shared" si="11"/>
        <v>0.30769230769230771</v>
      </c>
      <c r="Q32" s="14">
        <f t="shared" si="12"/>
        <v>0.66666666666666663</v>
      </c>
      <c r="R32" s="14">
        <f t="shared" si="13"/>
        <v>0.42105263157894735</v>
      </c>
      <c r="S32" s="21"/>
    </row>
    <row r="33" spans="1:19" x14ac:dyDescent="0.25">
      <c r="A33" s="23"/>
      <c r="B33" s="13" t="s">
        <v>18</v>
      </c>
      <c r="C33" s="14">
        <v>1</v>
      </c>
      <c r="D33" s="14">
        <v>0</v>
      </c>
      <c r="E33" s="14">
        <v>1</v>
      </c>
      <c r="F33" s="14">
        <f t="shared" si="8"/>
        <v>0.5</v>
      </c>
      <c r="G33" s="14">
        <f t="shared" si="9"/>
        <v>1</v>
      </c>
      <c r="H33" s="14">
        <f t="shared" si="10"/>
        <v>0.66666666666666663</v>
      </c>
      <c r="I33" s="21"/>
      <c r="K33" s="23"/>
      <c r="L33" s="13" t="s">
        <v>18</v>
      </c>
      <c r="M33" s="14">
        <v>1</v>
      </c>
      <c r="N33" s="14">
        <v>0</v>
      </c>
      <c r="O33" s="14">
        <v>2</v>
      </c>
      <c r="P33" s="14">
        <f t="shared" si="11"/>
        <v>0.33333333333333331</v>
      </c>
      <c r="Q33" s="14">
        <f t="shared" si="12"/>
        <v>1</v>
      </c>
      <c r="R33" s="14">
        <f t="shared" si="13"/>
        <v>0.5</v>
      </c>
      <c r="S33" s="21"/>
    </row>
    <row r="34" spans="1:19" x14ac:dyDescent="0.25">
      <c r="A34" s="23"/>
      <c r="B34" s="13" t="s">
        <v>19</v>
      </c>
      <c r="C34" s="15" t="s">
        <v>25</v>
      </c>
      <c r="D34" s="15" t="s">
        <v>25</v>
      </c>
      <c r="E34" s="15" t="s">
        <v>25</v>
      </c>
      <c r="F34" s="15" t="s">
        <v>25</v>
      </c>
      <c r="G34" s="15" t="s">
        <v>25</v>
      </c>
      <c r="H34" s="15" t="s">
        <v>25</v>
      </c>
      <c r="I34" s="21"/>
      <c r="K34" s="23"/>
      <c r="L34" s="13" t="s">
        <v>19</v>
      </c>
      <c r="M34" s="15" t="s">
        <v>25</v>
      </c>
      <c r="N34" s="15" t="s">
        <v>25</v>
      </c>
      <c r="O34" s="15" t="s">
        <v>25</v>
      </c>
      <c r="P34" s="15" t="s">
        <v>25</v>
      </c>
      <c r="Q34" s="15" t="s">
        <v>25</v>
      </c>
      <c r="R34" s="15" t="s">
        <v>25</v>
      </c>
      <c r="S34" s="21"/>
    </row>
    <row r="35" spans="1:19" x14ac:dyDescent="0.25">
      <c r="A35" s="23"/>
      <c r="B35" s="13" t="s">
        <v>20</v>
      </c>
      <c r="C35" s="14">
        <v>0</v>
      </c>
      <c r="D35" s="14">
        <v>1</v>
      </c>
      <c r="E35" s="14">
        <v>0</v>
      </c>
      <c r="F35" s="14">
        <f t="shared" ref="F35:F41" si="18">IFERROR(C35/(C35+E35), 0)</f>
        <v>0</v>
      </c>
      <c r="G35" s="14">
        <f t="shared" ref="G35:G41" si="19">IFERROR(C35/(C35+D35), 0)</f>
        <v>0</v>
      </c>
      <c r="H35" s="14">
        <f t="shared" ref="H35:H41" si="20">IFERROR(2*(F35*G35)/(F35+G35), 0)</f>
        <v>0</v>
      </c>
      <c r="I35" s="21"/>
      <c r="K35" s="23"/>
      <c r="L35" s="13" t="s">
        <v>20</v>
      </c>
      <c r="M35" s="14">
        <v>0</v>
      </c>
      <c r="N35" s="14">
        <v>1</v>
      </c>
      <c r="O35" s="14">
        <v>0</v>
      </c>
      <c r="P35" s="14">
        <f t="shared" ref="P35:P41" si="21">IFERROR(M35/(M35+O35), 0)</f>
        <v>0</v>
      </c>
      <c r="Q35" s="14">
        <f t="shared" ref="Q35:Q41" si="22">IFERROR(M35/(M35+N35), 0)</f>
        <v>0</v>
      </c>
      <c r="R35" s="14">
        <f t="shared" ref="R35:R41" si="23">IFERROR(2*(P35*Q35)/(P35+Q35), 0)</f>
        <v>0</v>
      </c>
      <c r="S35" s="21"/>
    </row>
    <row r="36" spans="1:19" x14ac:dyDescent="0.25">
      <c r="A36" s="24"/>
      <c r="B36" s="13" t="s">
        <v>21</v>
      </c>
      <c r="C36" s="14">
        <f t="shared" ref="C36:E36" si="24">SUM(C29:C35)</f>
        <v>25</v>
      </c>
      <c r="D36" s="14">
        <f t="shared" si="24"/>
        <v>16</v>
      </c>
      <c r="E36" s="14">
        <f t="shared" si="24"/>
        <v>14</v>
      </c>
      <c r="F36" s="14">
        <f t="shared" si="18"/>
        <v>0.64102564102564108</v>
      </c>
      <c r="G36" s="14">
        <f t="shared" si="19"/>
        <v>0.6097560975609756</v>
      </c>
      <c r="H36" s="14">
        <f t="shared" si="20"/>
        <v>0.625</v>
      </c>
      <c r="I36" s="21"/>
      <c r="K36" s="24"/>
      <c r="L36" s="13" t="s">
        <v>21</v>
      </c>
      <c r="M36" s="14">
        <f t="shared" ref="M36:O36" si="25">SUM(M29:M35)</f>
        <v>26</v>
      </c>
      <c r="N36" s="14">
        <f t="shared" si="25"/>
        <v>17</v>
      </c>
      <c r="O36" s="14">
        <f t="shared" si="25"/>
        <v>14</v>
      </c>
      <c r="P36" s="14">
        <f t="shared" si="21"/>
        <v>0.65</v>
      </c>
      <c r="Q36" s="14">
        <f t="shared" si="22"/>
        <v>0.60465116279069764</v>
      </c>
      <c r="R36" s="14">
        <f t="shared" si="23"/>
        <v>0.62650602409638545</v>
      </c>
      <c r="S36" s="21"/>
    </row>
    <row r="37" spans="1:19" x14ac:dyDescent="0.25">
      <c r="A37" s="22" t="s">
        <v>102</v>
      </c>
      <c r="B37" s="13" t="s">
        <v>12</v>
      </c>
      <c r="C37" s="14">
        <v>6</v>
      </c>
      <c r="D37" s="14">
        <v>1</v>
      </c>
      <c r="E37" s="14">
        <v>0</v>
      </c>
      <c r="F37" s="14">
        <f t="shared" si="18"/>
        <v>1</v>
      </c>
      <c r="G37" s="14">
        <f t="shared" si="19"/>
        <v>0.8571428571428571</v>
      </c>
      <c r="H37" s="14">
        <f t="shared" si="20"/>
        <v>0.92307692307692302</v>
      </c>
      <c r="I37" s="20" t="s">
        <v>103</v>
      </c>
      <c r="K37" s="22" t="s">
        <v>104</v>
      </c>
      <c r="L37" s="13" t="s">
        <v>12</v>
      </c>
      <c r="M37" s="14">
        <v>7</v>
      </c>
      <c r="N37" s="14">
        <v>0</v>
      </c>
      <c r="O37" s="14">
        <v>1</v>
      </c>
      <c r="P37" s="14">
        <f t="shared" si="21"/>
        <v>0.875</v>
      </c>
      <c r="Q37" s="14">
        <f t="shared" si="22"/>
        <v>1</v>
      </c>
      <c r="R37" s="14">
        <f t="shared" si="23"/>
        <v>0.93333333333333335</v>
      </c>
      <c r="S37" s="20" t="s">
        <v>103</v>
      </c>
    </row>
    <row r="38" spans="1:19" x14ac:dyDescent="0.25">
      <c r="A38" s="23"/>
      <c r="B38" s="13" t="s">
        <v>15</v>
      </c>
      <c r="C38" s="14">
        <v>18</v>
      </c>
      <c r="D38" s="14">
        <v>6</v>
      </c>
      <c r="E38" s="14">
        <v>3</v>
      </c>
      <c r="F38" s="14">
        <f t="shared" si="18"/>
        <v>0.8571428571428571</v>
      </c>
      <c r="G38" s="14">
        <f t="shared" si="19"/>
        <v>0.75</v>
      </c>
      <c r="H38" s="14">
        <f t="shared" si="20"/>
        <v>0.79999999999999993</v>
      </c>
      <c r="I38" s="21"/>
      <c r="K38" s="23"/>
      <c r="L38" s="13" t="s">
        <v>15</v>
      </c>
      <c r="M38" s="14">
        <v>18</v>
      </c>
      <c r="N38" s="14">
        <v>5</v>
      </c>
      <c r="O38" s="14">
        <v>2</v>
      </c>
      <c r="P38" s="14">
        <f t="shared" si="21"/>
        <v>0.9</v>
      </c>
      <c r="Q38" s="14">
        <f t="shared" si="22"/>
        <v>0.78260869565217395</v>
      </c>
      <c r="R38" s="14">
        <f t="shared" si="23"/>
        <v>0.83720930232558144</v>
      </c>
      <c r="S38" s="21"/>
    </row>
    <row r="39" spans="1:19" x14ac:dyDescent="0.25">
      <c r="A39" s="23"/>
      <c r="B39" s="13" t="s">
        <v>16</v>
      </c>
      <c r="C39" s="14">
        <v>3</v>
      </c>
      <c r="D39" s="14">
        <v>7</v>
      </c>
      <c r="E39" s="14">
        <v>0</v>
      </c>
      <c r="F39" s="14">
        <f t="shared" si="18"/>
        <v>1</v>
      </c>
      <c r="G39" s="14">
        <f t="shared" si="19"/>
        <v>0.3</v>
      </c>
      <c r="H39" s="14">
        <f t="shared" si="20"/>
        <v>0.46153846153846151</v>
      </c>
      <c r="I39" s="21"/>
      <c r="K39" s="23"/>
      <c r="L39" s="13" t="s">
        <v>16</v>
      </c>
      <c r="M39" s="14">
        <v>7</v>
      </c>
      <c r="N39" s="14">
        <v>4</v>
      </c>
      <c r="O39" s="14">
        <v>1</v>
      </c>
      <c r="P39" s="14">
        <f t="shared" si="21"/>
        <v>0.875</v>
      </c>
      <c r="Q39" s="14">
        <f t="shared" si="22"/>
        <v>0.63636363636363635</v>
      </c>
      <c r="R39" s="14">
        <f t="shared" si="23"/>
        <v>0.73684210526315785</v>
      </c>
      <c r="S39" s="21"/>
    </row>
    <row r="40" spans="1:19" x14ac:dyDescent="0.25">
      <c r="A40" s="23"/>
      <c r="B40" s="13" t="s">
        <v>17</v>
      </c>
      <c r="C40" s="14">
        <v>10</v>
      </c>
      <c r="D40" s="14">
        <v>6</v>
      </c>
      <c r="E40" s="14">
        <v>10</v>
      </c>
      <c r="F40" s="14">
        <f t="shared" si="18"/>
        <v>0.5</v>
      </c>
      <c r="G40" s="14">
        <f t="shared" si="19"/>
        <v>0.625</v>
      </c>
      <c r="H40" s="14">
        <f t="shared" si="20"/>
        <v>0.55555555555555558</v>
      </c>
      <c r="I40" s="21"/>
      <c r="K40" s="23"/>
      <c r="L40" s="13" t="s">
        <v>17</v>
      </c>
      <c r="M40" s="14">
        <v>6</v>
      </c>
      <c r="N40" s="14">
        <v>10</v>
      </c>
      <c r="O40" s="14">
        <v>11</v>
      </c>
      <c r="P40" s="14">
        <f t="shared" si="21"/>
        <v>0.35294117647058826</v>
      </c>
      <c r="Q40" s="14">
        <f t="shared" si="22"/>
        <v>0.375</v>
      </c>
      <c r="R40" s="14">
        <f t="shared" si="23"/>
        <v>0.36363636363636359</v>
      </c>
      <c r="S40" s="21"/>
    </row>
    <row r="41" spans="1:19" x14ac:dyDescent="0.25">
      <c r="A41" s="23"/>
      <c r="B41" s="13" t="s">
        <v>18</v>
      </c>
      <c r="C41" s="14">
        <v>1</v>
      </c>
      <c r="D41" s="14">
        <v>0</v>
      </c>
      <c r="E41" s="14">
        <v>2</v>
      </c>
      <c r="F41" s="14">
        <f t="shared" si="18"/>
        <v>0.33333333333333331</v>
      </c>
      <c r="G41" s="14">
        <f t="shared" si="19"/>
        <v>1</v>
      </c>
      <c r="H41" s="14">
        <f t="shared" si="20"/>
        <v>0.5</v>
      </c>
      <c r="I41" s="21"/>
      <c r="K41" s="23"/>
      <c r="L41" s="13" t="s">
        <v>18</v>
      </c>
      <c r="M41" s="14">
        <v>1</v>
      </c>
      <c r="N41" s="14">
        <v>0</v>
      </c>
      <c r="O41" s="14">
        <v>2</v>
      </c>
      <c r="P41" s="14">
        <f t="shared" si="21"/>
        <v>0.33333333333333331</v>
      </c>
      <c r="Q41" s="14">
        <f t="shared" si="22"/>
        <v>1</v>
      </c>
      <c r="R41" s="14">
        <f t="shared" si="23"/>
        <v>0.5</v>
      </c>
      <c r="S41" s="21"/>
    </row>
    <row r="42" spans="1:19" x14ac:dyDescent="0.25">
      <c r="A42" s="23"/>
      <c r="B42" s="13" t="s">
        <v>19</v>
      </c>
      <c r="C42" s="15" t="s">
        <v>25</v>
      </c>
      <c r="D42" s="15" t="s">
        <v>25</v>
      </c>
      <c r="E42" s="15" t="s">
        <v>25</v>
      </c>
      <c r="F42" s="15" t="s">
        <v>25</v>
      </c>
      <c r="G42" s="15" t="s">
        <v>25</v>
      </c>
      <c r="H42" s="15" t="s">
        <v>25</v>
      </c>
      <c r="I42" s="21"/>
      <c r="K42" s="23"/>
      <c r="L42" s="13" t="s">
        <v>19</v>
      </c>
      <c r="M42" s="15" t="s">
        <v>25</v>
      </c>
      <c r="N42" s="15" t="s">
        <v>25</v>
      </c>
      <c r="O42" s="15" t="s">
        <v>25</v>
      </c>
      <c r="P42" s="15" t="s">
        <v>25</v>
      </c>
      <c r="Q42" s="15" t="s">
        <v>25</v>
      </c>
      <c r="R42" s="15" t="s">
        <v>25</v>
      </c>
      <c r="S42" s="21"/>
    </row>
    <row r="43" spans="1:19" x14ac:dyDescent="0.25">
      <c r="A43" s="23"/>
      <c r="B43" s="13" t="s">
        <v>20</v>
      </c>
      <c r="C43" s="14">
        <v>0</v>
      </c>
      <c r="D43" s="14">
        <v>1</v>
      </c>
      <c r="E43" s="14">
        <v>0</v>
      </c>
      <c r="F43" s="14">
        <f t="shared" ref="F43:F49" si="26">IFERROR(C43/(C43+E43), 0)</f>
        <v>0</v>
      </c>
      <c r="G43" s="14">
        <f t="shared" ref="G43:G49" si="27">IFERROR(C43/(C43+D43), 0)</f>
        <v>0</v>
      </c>
      <c r="H43" s="14">
        <f t="shared" ref="H43:H49" si="28">IFERROR(2*(F43*G43)/(F43+G43), 0)</f>
        <v>0</v>
      </c>
      <c r="I43" s="21"/>
      <c r="K43" s="23"/>
      <c r="L43" s="13" t="s">
        <v>20</v>
      </c>
      <c r="M43" s="14">
        <v>0</v>
      </c>
      <c r="N43" s="14">
        <v>1</v>
      </c>
      <c r="O43" s="14">
        <v>0</v>
      </c>
      <c r="P43" s="14">
        <f t="shared" ref="P43:P49" si="29">IFERROR(M43/(M43+O43), 0)</f>
        <v>0</v>
      </c>
      <c r="Q43" s="14">
        <f t="shared" ref="Q43:Q49" si="30">IFERROR(M43/(M43+N43), 0)</f>
        <v>0</v>
      </c>
      <c r="R43" s="14">
        <f t="shared" ref="R43:R49" si="31">IFERROR(2*(P43*Q43)/(P43+Q43), 0)</f>
        <v>0</v>
      </c>
      <c r="S43" s="21"/>
    </row>
    <row r="44" spans="1:19" x14ac:dyDescent="0.25">
      <c r="A44" s="24"/>
      <c r="B44" s="13" t="s">
        <v>21</v>
      </c>
      <c r="C44" s="14">
        <f t="shared" ref="C44:E44" si="32">SUM(C37:C43)</f>
        <v>38</v>
      </c>
      <c r="D44" s="14">
        <f t="shared" si="32"/>
        <v>21</v>
      </c>
      <c r="E44" s="14">
        <f t="shared" si="32"/>
        <v>15</v>
      </c>
      <c r="F44" s="14">
        <f t="shared" si="26"/>
        <v>0.71698113207547165</v>
      </c>
      <c r="G44" s="14">
        <f t="shared" si="27"/>
        <v>0.64406779661016944</v>
      </c>
      <c r="H44" s="14">
        <f t="shared" si="28"/>
        <v>0.67857142857142849</v>
      </c>
      <c r="I44" s="21"/>
      <c r="K44" s="24"/>
      <c r="L44" s="13" t="s">
        <v>21</v>
      </c>
      <c r="M44" s="14">
        <f t="shared" ref="M44:O44" si="33">SUM(M37:M43)</f>
        <v>39</v>
      </c>
      <c r="N44" s="14">
        <f t="shared" si="33"/>
        <v>20</v>
      </c>
      <c r="O44" s="14">
        <f t="shared" si="33"/>
        <v>17</v>
      </c>
      <c r="P44" s="14">
        <f t="shared" si="29"/>
        <v>0.6964285714285714</v>
      </c>
      <c r="Q44" s="14">
        <f t="shared" si="30"/>
        <v>0.66101694915254239</v>
      </c>
      <c r="R44" s="14">
        <f t="shared" si="31"/>
        <v>0.67826086956521736</v>
      </c>
      <c r="S44" s="21"/>
    </row>
    <row r="45" spans="1:19" x14ac:dyDescent="0.25">
      <c r="A45" s="22" t="s">
        <v>105</v>
      </c>
      <c r="B45" s="13" t="s">
        <v>12</v>
      </c>
      <c r="C45" s="14">
        <v>6</v>
      </c>
      <c r="D45" s="14">
        <v>0</v>
      </c>
      <c r="E45" s="14">
        <v>0</v>
      </c>
      <c r="F45" s="14">
        <f t="shared" si="26"/>
        <v>1</v>
      </c>
      <c r="G45" s="14">
        <f t="shared" si="27"/>
        <v>1</v>
      </c>
      <c r="H45" s="14">
        <f t="shared" si="28"/>
        <v>1</v>
      </c>
      <c r="I45" s="20" t="s">
        <v>106</v>
      </c>
      <c r="K45" s="22" t="s">
        <v>107</v>
      </c>
      <c r="L45" s="13" t="s">
        <v>12</v>
      </c>
      <c r="M45" s="14">
        <v>6</v>
      </c>
      <c r="N45" s="14">
        <v>0</v>
      </c>
      <c r="O45" s="14">
        <v>0</v>
      </c>
      <c r="P45" s="14">
        <f t="shared" si="29"/>
        <v>1</v>
      </c>
      <c r="Q45" s="14">
        <f t="shared" si="30"/>
        <v>1</v>
      </c>
      <c r="R45" s="14">
        <f t="shared" si="31"/>
        <v>1</v>
      </c>
      <c r="S45" s="20" t="s">
        <v>106</v>
      </c>
    </row>
    <row r="46" spans="1:19" x14ac:dyDescent="0.25">
      <c r="A46" s="23"/>
      <c r="B46" s="13" t="s">
        <v>15</v>
      </c>
      <c r="C46" s="14">
        <v>15</v>
      </c>
      <c r="D46" s="14">
        <v>2</v>
      </c>
      <c r="E46" s="14">
        <v>1</v>
      </c>
      <c r="F46" s="14">
        <f t="shared" si="26"/>
        <v>0.9375</v>
      </c>
      <c r="G46" s="14">
        <f t="shared" si="27"/>
        <v>0.88235294117647056</v>
      </c>
      <c r="H46" s="14">
        <f t="shared" si="28"/>
        <v>0.90909090909090906</v>
      </c>
      <c r="I46" s="21"/>
      <c r="K46" s="23"/>
      <c r="L46" s="13" t="s">
        <v>15</v>
      </c>
      <c r="M46" s="14">
        <v>11</v>
      </c>
      <c r="N46" s="14">
        <v>6</v>
      </c>
      <c r="O46" s="14">
        <v>7</v>
      </c>
      <c r="P46" s="14">
        <f t="shared" si="29"/>
        <v>0.61111111111111116</v>
      </c>
      <c r="Q46" s="14">
        <f t="shared" si="30"/>
        <v>0.6470588235294118</v>
      </c>
      <c r="R46" s="14">
        <f t="shared" si="31"/>
        <v>0.62857142857142867</v>
      </c>
      <c r="S46" s="21"/>
    </row>
    <row r="47" spans="1:19" x14ac:dyDescent="0.25">
      <c r="A47" s="23"/>
      <c r="B47" s="13" t="s">
        <v>16</v>
      </c>
      <c r="C47" s="14">
        <v>6</v>
      </c>
      <c r="D47" s="14">
        <v>0</v>
      </c>
      <c r="E47" s="14">
        <v>0</v>
      </c>
      <c r="F47" s="14">
        <f t="shared" si="26"/>
        <v>1</v>
      </c>
      <c r="G47" s="14">
        <f t="shared" si="27"/>
        <v>1</v>
      </c>
      <c r="H47" s="14">
        <f t="shared" si="28"/>
        <v>1</v>
      </c>
      <c r="I47" s="21"/>
      <c r="K47" s="23"/>
      <c r="L47" s="13" t="s">
        <v>16</v>
      </c>
      <c r="M47" s="14">
        <v>2</v>
      </c>
      <c r="N47" s="14">
        <v>4</v>
      </c>
      <c r="O47" s="14">
        <v>3</v>
      </c>
      <c r="P47" s="14">
        <f t="shared" si="29"/>
        <v>0.4</v>
      </c>
      <c r="Q47" s="14">
        <f t="shared" si="30"/>
        <v>0.33333333333333331</v>
      </c>
      <c r="R47" s="14">
        <f t="shared" si="31"/>
        <v>0.36363636363636359</v>
      </c>
      <c r="S47" s="21"/>
    </row>
    <row r="48" spans="1:19" x14ac:dyDescent="0.25">
      <c r="A48" s="23"/>
      <c r="B48" s="13" t="s">
        <v>17</v>
      </c>
      <c r="C48" s="14">
        <v>0</v>
      </c>
      <c r="D48" s="14">
        <v>3</v>
      </c>
      <c r="E48" s="14">
        <v>0</v>
      </c>
      <c r="F48" s="14">
        <f t="shared" si="26"/>
        <v>0</v>
      </c>
      <c r="G48" s="14">
        <f t="shared" si="27"/>
        <v>0</v>
      </c>
      <c r="H48" s="14">
        <f t="shared" si="28"/>
        <v>0</v>
      </c>
      <c r="I48" s="21"/>
      <c r="K48" s="23"/>
      <c r="L48" s="13" t="s">
        <v>17</v>
      </c>
      <c r="M48" s="14">
        <v>0</v>
      </c>
      <c r="N48" s="14">
        <v>3</v>
      </c>
      <c r="O48" s="14">
        <v>20</v>
      </c>
      <c r="P48" s="14">
        <f t="shared" si="29"/>
        <v>0</v>
      </c>
      <c r="Q48" s="14">
        <f t="shared" si="30"/>
        <v>0</v>
      </c>
      <c r="R48" s="14">
        <f t="shared" si="31"/>
        <v>0</v>
      </c>
      <c r="S48" s="21"/>
    </row>
    <row r="49" spans="1:19" x14ac:dyDescent="0.25">
      <c r="A49" s="23"/>
      <c r="B49" s="13" t="s">
        <v>18</v>
      </c>
      <c r="C49" s="14">
        <v>2</v>
      </c>
      <c r="D49" s="14">
        <v>0</v>
      </c>
      <c r="E49" s="14">
        <v>2</v>
      </c>
      <c r="F49" s="14">
        <f t="shared" si="26"/>
        <v>0.5</v>
      </c>
      <c r="G49" s="14">
        <f t="shared" si="27"/>
        <v>1</v>
      </c>
      <c r="H49" s="14">
        <f t="shared" si="28"/>
        <v>0.66666666666666663</v>
      </c>
      <c r="I49" s="21"/>
      <c r="K49" s="23"/>
      <c r="L49" s="13" t="s">
        <v>18</v>
      </c>
      <c r="M49" s="14">
        <v>2</v>
      </c>
      <c r="N49" s="14">
        <v>0</v>
      </c>
      <c r="O49" s="14">
        <v>3</v>
      </c>
      <c r="P49" s="14">
        <f t="shared" si="29"/>
        <v>0.4</v>
      </c>
      <c r="Q49" s="14">
        <f t="shared" si="30"/>
        <v>1</v>
      </c>
      <c r="R49" s="14">
        <f t="shared" si="31"/>
        <v>0.57142857142857151</v>
      </c>
      <c r="S49" s="21"/>
    </row>
    <row r="50" spans="1:19" x14ac:dyDescent="0.25">
      <c r="A50" s="23"/>
      <c r="B50" s="13" t="s">
        <v>19</v>
      </c>
      <c r="C50" s="15" t="s">
        <v>25</v>
      </c>
      <c r="D50" s="15" t="s">
        <v>25</v>
      </c>
      <c r="E50" s="15" t="s">
        <v>25</v>
      </c>
      <c r="F50" s="15" t="s">
        <v>25</v>
      </c>
      <c r="G50" s="15" t="s">
        <v>25</v>
      </c>
      <c r="H50" s="15" t="s">
        <v>25</v>
      </c>
      <c r="I50" s="21"/>
      <c r="K50" s="23"/>
      <c r="L50" s="13" t="s">
        <v>19</v>
      </c>
      <c r="M50" s="15" t="s">
        <v>25</v>
      </c>
      <c r="N50" s="15" t="s">
        <v>25</v>
      </c>
      <c r="O50" s="15" t="s">
        <v>25</v>
      </c>
      <c r="P50" s="15" t="s">
        <v>25</v>
      </c>
      <c r="Q50" s="15" t="s">
        <v>25</v>
      </c>
      <c r="R50" s="15" t="s">
        <v>25</v>
      </c>
      <c r="S50" s="21"/>
    </row>
    <row r="51" spans="1:19" x14ac:dyDescent="0.25">
      <c r="A51" s="23"/>
      <c r="B51" s="13" t="s">
        <v>20</v>
      </c>
      <c r="C51" s="14">
        <v>0</v>
      </c>
      <c r="D51" s="14">
        <v>1</v>
      </c>
      <c r="E51" s="14">
        <v>0</v>
      </c>
      <c r="F51" s="14">
        <f t="shared" ref="F51:F57" si="34">IFERROR(C51/(C51+E51), 0)</f>
        <v>0</v>
      </c>
      <c r="G51" s="14">
        <f t="shared" ref="G51:G57" si="35">IFERROR(C51/(C51+D51), 0)</f>
        <v>0</v>
      </c>
      <c r="H51" s="14">
        <f t="shared" ref="H51:H57" si="36">IFERROR(2*(F51*G51)/(F51+G51), 0)</f>
        <v>0</v>
      </c>
      <c r="I51" s="21"/>
      <c r="K51" s="23"/>
      <c r="L51" s="13" t="s">
        <v>20</v>
      </c>
      <c r="M51" s="14">
        <v>1</v>
      </c>
      <c r="N51" s="14">
        <v>0</v>
      </c>
      <c r="O51" s="14">
        <v>1</v>
      </c>
      <c r="P51" s="14">
        <f t="shared" ref="P51:P57" si="37">IFERROR(M51/(M51+O51), 0)</f>
        <v>0.5</v>
      </c>
      <c r="Q51" s="14">
        <f t="shared" ref="Q51:Q57" si="38">IFERROR(M51/(M51+N51), 0)</f>
        <v>1</v>
      </c>
      <c r="R51" s="14">
        <f t="shared" ref="R51:R57" si="39">IFERROR(2*(P51*Q51)/(P51+Q51), 0)</f>
        <v>0.66666666666666663</v>
      </c>
      <c r="S51" s="21"/>
    </row>
    <row r="52" spans="1:19" x14ac:dyDescent="0.25">
      <c r="A52" s="24"/>
      <c r="B52" s="13" t="s">
        <v>21</v>
      </c>
      <c r="C52" s="14">
        <f t="shared" ref="C52:E52" si="40">SUM(C45:C51)</f>
        <v>29</v>
      </c>
      <c r="D52" s="14">
        <f t="shared" si="40"/>
        <v>6</v>
      </c>
      <c r="E52" s="14">
        <f t="shared" si="40"/>
        <v>3</v>
      </c>
      <c r="F52" s="14">
        <f t="shared" si="34"/>
        <v>0.90625</v>
      </c>
      <c r="G52" s="14">
        <f t="shared" si="35"/>
        <v>0.82857142857142863</v>
      </c>
      <c r="H52" s="14">
        <f t="shared" si="36"/>
        <v>0.86567164179104472</v>
      </c>
      <c r="I52" s="21"/>
      <c r="K52" s="24"/>
      <c r="L52" s="13" t="s">
        <v>21</v>
      </c>
      <c r="M52" s="14">
        <f t="shared" ref="M52:O52" si="41">SUM(M45:M51)</f>
        <v>22</v>
      </c>
      <c r="N52" s="14">
        <f t="shared" si="41"/>
        <v>13</v>
      </c>
      <c r="O52" s="14">
        <f t="shared" si="41"/>
        <v>34</v>
      </c>
      <c r="P52" s="14">
        <f t="shared" si="37"/>
        <v>0.39285714285714285</v>
      </c>
      <c r="Q52" s="14">
        <f t="shared" si="38"/>
        <v>0.62857142857142856</v>
      </c>
      <c r="R52" s="14">
        <f t="shared" si="39"/>
        <v>0.48351648351648352</v>
      </c>
      <c r="S52" s="21"/>
    </row>
    <row r="53" spans="1:19" x14ac:dyDescent="0.25">
      <c r="A53" s="22" t="s">
        <v>108</v>
      </c>
      <c r="B53" s="13" t="s">
        <v>12</v>
      </c>
      <c r="C53" s="14">
        <v>6</v>
      </c>
      <c r="D53" s="14">
        <v>3</v>
      </c>
      <c r="E53" s="14">
        <v>3</v>
      </c>
      <c r="F53" s="14">
        <f t="shared" si="34"/>
        <v>0.66666666666666663</v>
      </c>
      <c r="G53" s="14">
        <f t="shared" si="35"/>
        <v>0.66666666666666663</v>
      </c>
      <c r="H53" s="14">
        <f t="shared" si="36"/>
        <v>0.66666666666666663</v>
      </c>
      <c r="I53" s="20" t="s">
        <v>109</v>
      </c>
      <c r="K53" s="22" t="s">
        <v>110</v>
      </c>
      <c r="L53" s="13" t="s">
        <v>12</v>
      </c>
      <c r="M53" s="14">
        <v>6</v>
      </c>
      <c r="N53" s="14">
        <v>3</v>
      </c>
      <c r="O53" s="14">
        <v>4</v>
      </c>
      <c r="P53" s="14">
        <f t="shared" si="37"/>
        <v>0.6</v>
      </c>
      <c r="Q53" s="14">
        <f t="shared" si="38"/>
        <v>0.66666666666666663</v>
      </c>
      <c r="R53" s="14">
        <f t="shared" si="39"/>
        <v>0.63157894736842102</v>
      </c>
      <c r="S53" s="20" t="s">
        <v>109</v>
      </c>
    </row>
    <row r="54" spans="1:19" x14ac:dyDescent="0.25">
      <c r="A54" s="23"/>
      <c r="B54" s="13" t="s">
        <v>15</v>
      </c>
      <c r="C54" s="14">
        <v>11</v>
      </c>
      <c r="D54" s="14">
        <v>6</v>
      </c>
      <c r="E54" s="14">
        <v>4</v>
      </c>
      <c r="F54" s="14">
        <f t="shared" si="34"/>
        <v>0.73333333333333328</v>
      </c>
      <c r="G54" s="14">
        <f t="shared" si="35"/>
        <v>0.6470588235294118</v>
      </c>
      <c r="H54" s="14">
        <f t="shared" si="36"/>
        <v>0.6875</v>
      </c>
      <c r="I54" s="21"/>
      <c r="K54" s="23"/>
      <c r="L54" s="13" t="s">
        <v>15</v>
      </c>
      <c r="M54" s="14">
        <v>12</v>
      </c>
      <c r="N54" s="14">
        <v>5</v>
      </c>
      <c r="O54" s="14">
        <v>7</v>
      </c>
      <c r="P54" s="14">
        <f t="shared" si="37"/>
        <v>0.63157894736842102</v>
      </c>
      <c r="Q54" s="14">
        <f t="shared" si="38"/>
        <v>0.70588235294117652</v>
      </c>
      <c r="R54" s="14">
        <f t="shared" si="39"/>
        <v>0.66666666666666674</v>
      </c>
      <c r="S54" s="21"/>
    </row>
    <row r="55" spans="1:19" x14ac:dyDescent="0.25">
      <c r="A55" s="23"/>
      <c r="B55" s="13" t="s">
        <v>16</v>
      </c>
      <c r="C55" s="14">
        <v>1</v>
      </c>
      <c r="D55" s="14">
        <v>3</v>
      </c>
      <c r="E55" s="14">
        <v>0</v>
      </c>
      <c r="F55" s="14">
        <f t="shared" si="34"/>
        <v>1</v>
      </c>
      <c r="G55" s="14">
        <f t="shared" si="35"/>
        <v>0.25</v>
      </c>
      <c r="H55" s="14">
        <f t="shared" si="36"/>
        <v>0.4</v>
      </c>
      <c r="I55" s="21"/>
      <c r="K55" s="23"/>
      <c r="L55" s="13" t="s">
        <v>16</v>
      </c>
      <c r="M55" s="14">
        <v>2</v>
      </c>
      <c r="N55" s="14">
        <v>2</v>
      </c>
      <c r="O55" s="14">
        <v>7</v>
      </c>
      <c r="P55" s="14">
        <f t="shared" si="37"/>
        <v>0.22222222222222221</v>
      </c>
      <c r="Q55" s="14">
        <f t="shared" si="38"/>
        <v>0.5</v>
      </c>
      <c r="R55" s="14">
        <f t="shared" si="39"/>
        <v>0.30769230769230765</v>
      </c>
      <c r="S55" s="21"/>
    </row>
    <row r="56" spans="1:19" x14ac:dyDescent="0.25">
      <c r="A56" s="23"/>
      <c r="B56" s="13" t="s">
        <v>17</v>
      </c>
      <c r="C56" s="14">
        <v>2</v>
      </c>
      <c r="D56" s="14">
        <v>3</v>
      </c>
      <c r="E56" s="14">
        <v>3</v>
      </c>
      <c r="F56" s="14">
        <f t="shared" si="34"/>
        <v>0.4</v>
      </c>
      <c r="G56" s="14">
        <f t="shared" si="35"/>
        <v>0.4</v>
      </c>
      <c r="H56" s="14">
        <f t="shared" si="36"/>
        <v>0.40000000000000008</v>
      </c>
      <c r="I56" s="21"/>
      <c r="K56" s="23"/>
      <c r="L56" s="13" t="s">
        <v>17</v>
      </c>
      <c r="M56" s="14">
        <v>3</v>
      </c>
      <c r="N56" s="14">
        <v>2</v>
      </c>
      <c r="O56" s="14">
        <v>9</v>
      </c>
      <c r="P56" s="14">
        <f t="shared" si="37"/>
        <v>0.25</v>
      </c>
      <c r="Q56" s="14">
        <f t="shared" si="38"/>
        <v>0.6</v>
      </c>
      <c r="R56" s="14">
        <f t="shared" si="39"/>
        <v>0.35294117647058826</v>
      </c>
      <c r="S56" s="21"/>
    </row>
    <row r="57" spans="1:19" x14ac:dyDescent="0.25">
      <c r="A57" s="23"/>
      <c r="B57" s="13" t="s">
        <v>18</v>
      </c>
      <c r="C57" s="14">
        <v>3</v>
      </c>
      <c r="D57" s="14">
        <v>0</v>
      </c>
      <c r="E57" s="14">
        <v>0</v>
      </c>
      <c r="F57" s="14">
        <f t="shared" si="34"/>
        <v>1</v>
      </c>
      <c r="G57" s="14">
        <f t="shared" si="35"/>
        <v>1</v>
      </c>
      <c r="H57" s="14">
        <f t="shared" si="36"/>
        <v>1</v>
      </c>
      <c r="I57" s="21"/>
      <c r="K57" s="23"/>
      <c r="L57" s="13" t="s">
        <v>18</v>
      </c>
      <c r="M57" s="14">
        <v>3</v>
      </c>
      <c r="N57" s="14">
        <v>0</v>
      </c>
      <c r="O57" s="14">
        <v>2</v>
      </c>
      <c r="P57" s="14">
        <f t="shared" si="37"/>
        <v>0.6</v>
      </c>
      <c r="Q57" s="14">
        <f t="shared" si="38"/>
        <v>1</v>
      </c>
      <c r="R57" s="14">
        <f t="shared" si="39"/>
        <v>0.74999999999999989</v>
      </c>
      <c r="S57" s="21"/>
    </row>
    <row r="58" spans="1:19" x14ac:dyDescent="0.25">
      <c r="A58" s="23"/>
      <c r="B58" s="13" t="s">
        <v>19</v>
      </c>
      <c r="C58" s="15" t="s">
        <v>25</v>
      </c>
      <c r="D58" s="15" t="s">
        <v>25</v>
      </c>
      <c r="E58" s="15" t="s">
        <v>25</v>
      </c>
      <c r="F58" s="15" t="s">
        <v>25</v>
      </c>
      <c r="G58" s="15" t="s">
        <v>25</v>
      </c>
      <c r="H58" s="15" t="s">
        <v>25</v>
      </c>
      <c r="I58" s="21"/>
      <c r="K58" s="23"/>
      <c r="L58" s="13" t="s">
        <v>19</v>
      </c>
      <c r="M58" s="15" t="s">
        <v>25</v>
      </c>
      <c r="N58" s="15" t="s">
        <v>25</v>
      </c>
      <c r="O58" s="15" t="s">
        <v>25</v>
      </c>
      <c r="P58" s="15" t="s">
        <v>25</v>
      </c>
      <c r="Q58" s="15" t="s">
        <v>25</v>
      </c>
      <c r="R58" s="15" t="s">
        <v>25</v>
      </c>
      <c r="S58" s="21"/>
    </row>
    <row r="59" spans="1:19" x14ac:dyDescent="0.25">
      <c r="A59" s="23"/>
      <c r="B59" s="13" t="s">
        <v>20</v>
      </c>
      <c r="C59" s="14">
        <v>0</v>
      </c>
      <c r="D59" s="14">
        <v>1</v>
      </c>
      <c r="E59" s="14">
        <v>0</v>
      </c>
      <c r="F59" s="14">
        <f t="shared" ref="F59:F68" si="42">IFERROR(C59/(C59+E59), 0)</f>
        <v>0</v>
      </c>
      <c r="G59" s="14">
        <f t="shared" ref="G59:G68" si="43">IFERROR(C59/(C59+D59), 0)</f>
        <v>0</v>
      </c>
      <c r="H59" s="14">
        <f t="shared" ref="H59:H68" si="44">IFERROR(2*(F59*G59)/(F59+G59), 0)</f>
        <v>0</v>
      </c>
      <c r="I59" s="21"/>
      <c r="K59" s="23"/>
      <c r="L59" s="13" t="s">
        <v>20</v>
      </c>
      <c r="M59" s="14">
        <v>0</v>
      </c>
      <c r="N59" s="14">
        <v>1</v>
      </c>
      <c r="O59" s="14">
        <v>0</v>
      </c>
      <c r="P59" s="14">
        <f t="shared" ref="P59:P68" si="45">IFERROR(M59/(M59+O59), 0)</f>
        <v>0</v>
      </c>
      <c r="Q59" s="14">
        <f t="shared" ref="Q59:Q68" si="46">IFERROR(M59/(M59+N59), 0)</f>
        <v>0</v>
      </c>
      <c r="R59" s="14">
        <f t="shared" ref="R59:R68" si="47">IFERROR(2*(P59*Q59)/(P59+Q59), 0)</f>
        <v>0</v>
      </c>
      <c r="S59" s="21"/>
    </row>
    <row r="60" spans="1:19" x14ac:dyDescent="0.25">
      <c r="A60" s="24"/>
      <c r="B60" s="13" t="s">
        <v>21</v>
      </c>
      <c r="C60" s="14">
        <f t="shared" ref="C60:E60" si="48">SUM(C53:C59)</f>
        <v>23</v>
      </c>
      <c r="D60" s="14">
        <f t="shared" si="48"/>
        <v>16</v>
      </c>
      <c r="E60" s="14">
        <f t="shared" si="48"/>
        <v>10</v>
      </c>
      <c r="F60" s="14">
        <f t="shared" si="42"/>
        <v>0.69696969696969702</v>
      </c>
      <c r="G60" s="14">
        <f t="shared" si="43"/>
        <v>0.58974358974358976</v>
      </c>
      <c r="H60" s="14">
        <f t="shared" si="44"/>
        <v>0.63888888888888895</v>
      </c>
      <c r="I60" s="21"/>
      <c r="K60" s="24"/>
      <c r="L60" s="13" t="s">
        <v>21</v>
      </c>
      <c r="M60" s="14">
        <f t="shared" ref="M60:O60" si="49">SUM(M53:M59)</f>
        <v>26</v>
      </c>
      <c r="N60" s="14">
        <f t="shared" si="49"/>
        <v>13</v>
      </c>
      <c r="O60" s="14">
        <f t="shared" si="49"/>
        <v>29</v>
      </c>
      <c r="P60" s="14">
        <f t="shared" si="45"/>
        <v>0.47272727272727272</v>
      </c>
      <c r="Q60" s="14">
        <f t="shared" si="46"/>
        <v>0.66666666666666663</v>
      </c>
      <c r="R60" s="14">
        <f t="shared" si="47"/>
        <v>0.55319148936170204</v>
      </c>
      <c r="S60" s="21"/>
    </row>
    <row r="61" spans="1:19" x14ac:dyDescent="0.25">
      <c r="A61" s="22" t="s">
        <v>111</v>
      </c>
      <c r="B61" s="13" t="s">
        <v>12</v>
      </c>
      <c r="C61" s="14">
        <v>11</v>
      </c>
      <c r="D61" s="14">
        <v>6</v>
      </c>
      <c r="E61" s="14">
        <v>1</v>
      </c>
      <c r="F61" s="14">
        <f t="shared" si="42"/>
        <v>0.91666666666666663</v>
      </c>
      <c r="G61" s="14">
        <f t="shared" si="43"/>
        <v>0.6470588235294118</v>
      </c>
      <c r="H61" s="14">
        <f t="shared" si="44"/>
        <v>0.75862068965517238</v>
      </c>
      <c r="I61" s="20" t="s">
        <v>112</v>
      </c>
      <c r="K61" s="22" t="s">
        <v>113</v>
      </c>
      <c r="L61" s="13" t="s">
        <v>12</v>
      </c>
      <c r="M61" s="14">
        <v>17</v>
      </c>
      <c r="N61" s="14">
        <v>0</v>
      </c>
      <c r="O61" s="14">
        <v>2</v>
      </c>
      <c r="P61" s="14">
        <f t="shared" si="45"/>
        <v>0.89473684210526316</v>
      </c>
      <c r="Q61" s="14">
        <f t="shared" si="46"/>
        <v>1</v>
      </c>
      <c r="R61" s="14">
        <f t="shared" si="47"/>
        <v>0.94444444444444442</v>
      </c>
      <c r="S61" s="20" t="s">
        <v>112</v>
      </c>
    </row>
    <row r="62" spans="1:19" x14ac:dyDescent="0.25">
      <c r="A62" s="23"/>
      <c r="B62" s="13" t="s">
        <v>15</v>
      </c>
      <c r="C62" s="14">
        <v>12</v>
      </c>
      <c r="D62" s="14">
        <v>29</v>
      </c>
      <c r="E62" s="14">
        <v>5</v>
      </c>
      <c r="F62" s="14">
        <f t="shared" si="42"/>
        <v>0.70588235294117652</v>
      </c>
      <c r="G62" s="14">
        <f t="shared" si="43"/>
        <v>0.29268292682926828</v>
      </c>
      <c r="H62" s="14">
        <f t="shared" si="44"/>
        <v>0.41379310344827586</v>
      </c>
      <c r="I62" s="21"/>
      <c r="K62" s="23"/>
      <c r="L62" s="13" t="s">
        <v>15</v>
      </c>
      <c r="M62" s="14">
        <v>16</v>
      </c>
      <c r="N62" s="14">
        <v>25</v>
      </c>
      <c r="O62" s="14">
        <v>4</v>
      </c>
      <c r="P62" s="14">
        <f t="shared" si="45"/>
        <v>0.8</v>
      </c>
      <c r="Q62" s="14">
        <f t="shared" si="46"/>
        <v>0.3902439024390244</v>
      </c>
      <c r="R62" s="14">
        <f t="shared" si="47"/>
        <v>0.52459016393442626</v>
      </c>
      <c r="S62" s="21"/>
    </row>
    <row r="63" spans="1:19" x14ac:dyDescent="0.25">
      <c r="A63" s="23"/>
      <c r="B63" s="13" t="s">
        <v>16</v>
      </c>
      <c r="C63" s="14">
        <v>0</v>
      </c>
      <c r="D63" s="15" t="s">
        <v>48</v>
      </c>
      <c r="E63" s="15" t="s">
        <v>48</v>
      </c>
      <c r="F63" s="14">
        <f t="shared" si="42"/>
        <v>0</v>
      </c>
      <c r="G63" s="14">
        <f t="shared" si="43"/>
        <v>0</v>
      </c>
      <c r="H63" s="14">
        <f t="shared" si="44"/>
        <v>0</v>
      </c>
      <c r="I63" s="21"/>
      <c r="K63" s="23"/>
      <c r="L63" s="13" t="s">
        <v>16</v>
      </c>
      <c r="M63" s="14">
        <v>1</v>
      </c>
      <c r="N63" s="14">
        <v>9</v>
      </c>
      <c r="O63" s="14">
        <v>4</v>
      </c>
      <c r="P63" s="14">
        <f t="shared" si="45"/>
        <v>0.2</v>
      </c>
      <c r="Q63" s="14">
        <f t="shared" si="46"/>
        <v>0.1</v>
      </c>
      <c r="R63" s="14">
        <f t="shared" si="47"/>
        <v>0.13333333333333333</v>
      </c>
      <c r="S63" s="21"/>
    </row>
    <row r="64" spans="1:19" x14ac:dyDescent="0.25">
      <c r="A64" s="23"/>
      <c r="B64" s="13" t="s">
        <v>17</v>
      </c>
      <c r="C64" s="14">
        <v>4</v>
      </c>
      <c r="D64" s="14">
        <v>20</v>
      </c>
      <c r="E64" s="14">
        <v>10</v>
      </c>
      <c r="F64" s="14">
        <f t="shared" si="42"/>
        <v>0.2857142857142857</v>
      </c>
      <c r="G64" s="14">
        <f t="shared" si="43"/>
        <v>0.16666666666666666</v>
      </c>
      <c r="H64" s="14">
        <f t="shared" si="44"/>
        <v>0.2105263157894737</v>
      </c>
      <c r="I64" s="21"/>
      <c r="K64" s="23"/>
      <c r="L64" s="13" t="s">
        <v>17</v>
      </c>
      <c r="M64" s="14">
        <v>5</v>
      </c>
      <c r="N64" s="14">
        <v>19</v>
      </c>
      <c r="O64" s="14">
        <v>13</v>
      </c>
      <c r="P64" s="14">
        <f t="shared" si="45"/>
        <v>0.27777777777777779</v>
      </c>
      <c r="Q64" s="14">
        <f t="shared" si="46"/>
        <v>0.20833333333333334</v>
      </c>
      <c r="R64" s="14">
        <f t="shared" si="47"/>
        <v>0.23809523809523811</v>
      </c>
      <c r="S64" s="21"/>
    </row>
    <row r="65" spans="1:19" x14ac:dyDescent="0.25">
      <c r="A65" s="23"/>
      <c r="B65" s="13" t="s">
        <v>18</v>
      </c>
      <c r="C65" s="14">
        <v>5</v>
      </c>
      <c r="D65" s="14">
        <v>0</v>
      </c>
      <c r="E65" s="14">
        <v>1</v>
      </c>
      <c r="F65" s="14">
        <f t="shared" si="42"/>
        <v>0.83333333333333337</v>
      </c>
      <c r="G65" s="14">
        <f t="shared" si="43"/>
        <v>1</v>
      </c>
      <c r="H65" s="14">
        <f t="shared" si="44"/>
        <v>0.90909090909090906</v>
      </c>
      <c r="I65" s="21"/>
      <c r="K65" s="23"/>
      <c r="L65" s="13" t="s">
        <v>18</v>
      </c>
      <c r="M65" s="14">
        <v>4</v>
      </c>
      <c r="N65" s="14">
        <v>1</v>
      </c>
      <c r="O65" s="14">
        <v>2</v>
      </c>
      <c r="P65" s="14">
        <f t="shared" si="45"/>
        <v>0.66666666666666663</v>
      </c>
      <c r="Q65" s="14">
        <f t="shared" si="46"/>
        <v>0.8</v>
      </c>
      <c r="R65" s="14">
        <f t="shared" si="47"/>
        <v>0.72727272727272718</v>
      </c>
      <c r="S65" s="21"/>
    </row>
    <row r="66" spans="1:19" x14ac:dyDescent="0.25">
      <c r="A66" s="23"/>
      <c r="B66" s="13" t="s">
        <v>19</v>
      </c>
      <c r="C66" s="14">
        <v>2</v>
      </c>
      <c r="D66" s="14">
        <v>0</v>
      </c>
      <c r="E66" s="14">
        <v>1</v>
      </c>
      <c r="F66" s="14">
        <f t="shared" si="42"/>
        <v>0.66666666666666663</v>
      </c>
      <c r="G66" s="14">
        <f t="shared" si="43"/>
        <v>1</v>
      </c>
      <c r="H66" s="14">
        <f t="shared" si="44"/>
        <v>0.8</v>
      </c>
      <c r="I66" s="21"/>
      <c r="K66" s="23"/>
      <c r="L66" s="13" t="s">
        <v>19</v>
      </c>
      <c r="M66" s="14">
        <v>2</v>
      </c>
      <c r="N66" s="14">
        <v>0</v>
      </c>
      <c r="O66" s="14">
        <v>2</v>
      </c>
      <c r="P66" s="14">
        <f t="shared" si="45"/>
        <v>0.5</v>
      </c>
      <c r="Q66" s="14">
        <f t="shared" si="46"/>
        <v>1</v>
      </c>
      <c r="R66" s="14">
        <f t="shared" si="47"/>
        <v>0.66666666666666663</v>
      </c>
      <c r="S66" s="21"/>
    </row>
    <row r="67" spans="1:19" x14ac:dyDescent="0.25">
      <c r="A67" s="23"/>
      <c r="B67" s="13" t="s">
        <v>20</v>
      </c>
      <c r="C67" s="14">
        <v>0</v>
      </c>
      <c r="D67" s="14">
        <v>1</v>
      </c>
      <c r="E67" s="14">
        <v>0</v>
      </c>
      <c r="F67" s="14">
        <f t="shared" si="42"/>
        <v>0</v>
      </c>
      <c r="G67" s="14">
        <f t="shared" si="43"/>
        <v>0</v>
      </c>
      <c r="H67" s="14">
        <f t="shared" si="44"/>
        <v>0</v>
      </c>
      <c r="I67" s="21"/>
      <c r="K67" s="23"/>
      <c r="L67" s="13" t="s">
        <v>20</v>
      </c>
      <c r="M67" s="14">
        <v>1</v>
      </c>
      <c r="N67" s="14">
        <v>0</v>
      </c>
      <c r="O67" s="14">
        <v>0</v>
      </c>
      <c r="P67" s="14">
        <f t="shared" si="45"/>
        <v>1</v>
      </c>
      <c r="Q67" s="14">
        <f t="shared" si="46"/>
        <v>1</v>
      </c>
      <c r="R67" s="14">
        <f t="shared" si="47"/>
        <v>1</v>
      </c>
      <c r="S67" s="21"/>
    </row>
    <row r="68" spans="1:19" x14ac:dyDescent="0.25">
      <c r="A68" s="24"/>
      <c r="B68" s="13" t="s">
        <v>21</v>
      </c>
      <c r="C68" s="1">
        <f t="shared" ref="C68:E68" si="50">SUM(C61:C67)</f>
        <v>34</v>
      </c>
      <c r="D68" s="1">
        <f t="shared" si="50"/>
        <v>56</v>
      </c>
      <c r="E68" s="1">
        <f t="shared" si="50"/>
        <v>18</v>
      </c>
      <c r="F68" s="14">
        <f t="shared" si="42"/>
        <v>0.65384615384615385</v>
      </c>
      <c r="G68" s="14">
        <f t="shared" si="43"/>
        <v>0.37777777777777777</v>
      </c>
      <c r="H68" s="14">
        <f t="shared" si="44"/>
        <v>0.4788732394366198</v>
      </c>
      <c r="I68" s="21"/>
      <c r="K68" s="24"/>
      <c r="L68" s="13" t="s">
        <v>21</v>
      </c>
      <c r="M68" s="1">
        <f t="shared" ref="M68:O68" si="51">SUM(M61:M67)</f>
        <v>46</v>
      </c>
      <c r="N68" s="1">
        <f t="shared" si="51"/>
        <v>54</v>
      </c>
      <c r="O68" s="1">
        <f t="shared" si="51"/>
        <v>27</v>
      </c>
      <c r="P68" s="14">
        <f t="shared" si="45"/>
        <v>0.63013698630136983</v>
      </c>
      <c r="Q68" s="14">
        <f t="shared" si="46"/>
        <v>0.46</v>
      </c>
      <c r="R68" s="14">
        <f t="shared" si="47"/>
        <v>0.53179190751445093</v>
      </c>
      <c r="S68" s="21"/>
    </row>
  </sheetData>
  <mergeCells count="32">
    <mergeCell ref="I21:I28"/>
    <mergeCell ref="K21:K28"/>
    <mergeCell ref="A29:A36"/>
    <mergeCell ref="K29:K36"/>
    <mergeCell ref="K37:K44"/>
    <mergeCell ref="A37:A44"/>
    <mergeCell ref="A45:A52"/>
    <mergeCell ref="A53:A60"/>
    <mergeCell ref="A61:A68"/>
    <mergeCell ref="A13:A20"/>
    <mergeCell ref="A21:A28"/>
    <mergeCell ref="S61:S68"/>
    <mergeCell ref="I29:I36"/>
    <mergeCell ref="I37:I44"/>
    <mergeCell ref="I45:I52"/>
    <mergeCell ref="K45:K52"/>
    <mergeCell ref="I53:I60"/>
    <mergeCell ref="K53:K60"/>
    <mergeCell ref="I61:I68"/>
    <mergeCell ref="K61:K68"/>
    <mergeCell ref="S21:S28"/>
    <mergeCell ref="S29:S36"/>
    <mergeCell ref="S37:S44"/>
    <mergeCell ref="S45:S52"/>
    <mergeCell ref="S53:S60"/>
    <mergeCell ref="A5:A12"/>
    <mergeCell ref="I5:I12"/>
    <mergeCell ref="K5:K12"/>
    <mergeCell ref="S5:S12"/>
    <mergeCell ref="I13:I20"/>
    <mergeCell ref="K13:K20"/>
    <mergeCell ref="S13:S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J35"/>
  <sheetViews>
    <sheetView workbookViewId="0">
      <selection activeCell="I32" sqref="I32"/>
    </sheetView>
  </sheetViews>
  <sheetFormatPr defaultColWidth="12.6640625" defaultRowHeight="15.75" customHeight="1" x14ac:dyDescent="0.25"/>
  <cols>
    <col min="1" max="1" width="20.44140625" customWidth="1"/>
    <col min="2" max="2" width="14.77734375" customWidth="1"/>
    <col min="3" max="5" width="11.6640625" customWidth="1"/>
    <col min="6" max="6" width="28.44140625" customWidth="1"/>
    <col min="7" max="7" width="14.77734375" customWidth="1"/>
    <col min="8" max="8" width="12.6640625" customWidth="1"/>
    <col min="9" max="11" width="11.6640625" customWidth="1"/>
    <col min="12" max="12" width="14.77734375" customWidth="1"/>
    <col min="13" max="13" width="7.88671875" customWidth="1"/>
    <col min="14" max="14" width="5.6640625" customWidth="1"/>
    <col min="15" max="15" width="7.6640625" customWidth="1"/>
  </cols>
  <sheetData>
    <row r="2" spans="1:10" x14ac:dyDescent="0.25">
      <c r="A2" s="11" t="s">
        <v>114</v>
      </c>
    </row>
    <row r="3" spans="1:10" x14ac:dyDescent="0.25">
      <c r="A3" s="15" t="s">
        <v>115</v>
      </c>
      <c r="B3" s="15" t="s">
        <v>3</v>
      </c>
      <c r="C3" s="15" t="s">
        <v>7</v>
      </c>
      <c r="D3" s="15" t="s">
        <v>8</v>
      </c>
      <c r="E3" s="15" t="s">
        <v>116</v>
      </c>
      <c r="F3" s="15" t="s">
        <v>115</v>
      </c>
      <c r="G3" s="15" t="s">
        <v>3</v>
      </c>
      <c r="H3" s="15" t="s">
        <v>7</v>
      </c>
      <c r="I3" s="15" t="s">
        <v>8</v>
      </c>
      <c r="J3" s="15" t="s">
        <v>116</v>
      </c>
    </row>
    <row r="4" spans="1:10" x14ac:dyDescent="0.25">
      <c r="A4" s="26" t="s">
        <v>117</v>
      </c>
      <c r="B4" s="15" t="s">
        <v>12</v>
      </c>
      <c r="C4" s="14">
        <f ca="1">IFERROR(__xludf.DUMMYFUNCTION("average(FILTER(SinglePrompt!F5:F53, MOD(ROW(SinglePrompt!F5:F53) - ROW(SinglePrompt!F5), 8) = 0))"),0.873685837971552)</f>
        <v>0.87368583797155197</v>
      </c>
      <c r="D4" s="14">
        <f ca="1">IFERROR(__xludf.DUMMYFUNCTION("average(FILTER(SinglePrompt!G5:G53, MOD(ROW(SinglePrompt!G5:G53) - ROW(SinglePrompt!G5), 8) = 0))"),0.755205112347969)</f>
        <v>0.75520511234796905</v>
      </c>
      <c r="E4" s="14">
        <f ca="1">IFERROR(__xludf.DUMMYFUNCTION("average(FILTER(SinglePrompt!H5:H53, MOD(ROW(SinglePrompt!H5:H53) - ROW(SinglePrompt!H5), 8) = 0))"),0.803787878787878)</f>
        <v>0.80378787878787805</v>
      </c>
      <c r="F4" s="26" t="s">
        <v>118</v>
      </c>
      <c r="G4" s="15" t="s">
        <v>12</v>
      </c>
      <c r="H4" s="14">
        <f ca="1">IFERROR(__xludf.DUMMYFUNCTION("average(FILTER(SinglePrompt!P5:P61, MOD(ROW(SinglePrompt!P5:P61) - ROW(SinglePrompt!P5), 8) = 0))"),0.899486405407458)</f>
        <v>0.89948640540745795</v>
      </c>
      <c r="I4" s="14">
        <f ca="1">IFERROR(__xludf.DUMMYFUNCTION("average(FILTER(SinglePrompt!Q5:Q61, MOD(ROW(SinglePrompt!Q5:Q61) - ROW(SinglePrompt!Q5), 8) = 0))"),0.90530303030303)</f>
        <v>0.90530303030303005</v>
      </c>
      <c r="J4" s="14">
        <f ca="1">IFERROR(__xludf.DUMMYFUNCTION("average(FILTER(SinglePrompt!R5:R61, MOD(ROW(SinglePrompt!R5:R61) - ROW(SinglePrompt!R5), 8) = 0))"),0.899116868253865)</f>
        <v>0.89911686825386505</v>
      </c>
    </row>
    <row r="5" spans="1:10" x14ac:dyDescent="0.25">
      <c r="A5" s="23"/>
      <c r="B5" s="15" t="s">
        <v>15</v>
      </c>
      <c r="C5" s="14">
        <f ca="1">IFERROR(__xludf.DUMMYFUNCTION("average(FILTER(SinglePrompt!F6:F54, MOD(ROW(SinglePrompt!F6:F54) - ROW(SinglePrompt!F6), 8) = 0))"),0.670234002691986)</f>
        <v>0.67023400269198596</v>
      </c>
      <c r="D5" s="14">
        <f ca="1">IFERROR(__xludf.DUMMYFUNCTION("average(FILTER(SinglePrompt!G6:G54, MOD(ROW(SinglePrompt!G6:G54) - ROW(SinglePrompt!G6), 8) = 0))"),0.520637602867233)</f>
        <v>0.52063760286723304</v>
      </c>
      <c r="E5" s="14">
        <f ca="1">IFERROR(__xludf.DUMMYFUNCTION("average(FILTER(SinglePrompt!H6:H54, MOD(ROW(SinglePrompt!H6:H54) - ROW(SinglePrompt!H6), 8) = 0))"),0.574143677673089)</f>
        <v>0.57414367767308905</v>
      </c>
      <c r="F5" s="23"/>
      <c r="G5" s="15" t="s">
        <v>15</v>
      </c>
      <c r="H5" s="14">
        <f ca="1">IFERROR(__xludf.DUMMYFUNCTION("average(FILTER(SinglePrompt!P6:P62, MOD(ROW(SinglePrompt!P6:P62) - ROW(SinglePrompt!P6), 8) = 0))"),0.805748842792248)</f>
        <v>0.80574884279224801</v>
      </c>
      <c r="I5" s="14">
        <f ca="1">IFERROR(__xludf.DUMMYFUNCTION("average(FILTER(SinglePrompt!Q6:Q62, MOD(ROW(SinglePrompt!Q6:Q62) - ROW(SinglePrompt!Q6), 8) = 0))"),0.706151362984218)</f>
        <v>0.70615136298421799</v>
      </c>
      <c r="J5" s="14">
        <f ca="1">IFERROR(__xludf.DUMMYFUNCTION("average(FILTER(SinglePrompt!R6:R62, MOD(ROW(SinglePrompt!R6:R62) - ROW(SinglePrompt!R6), 8) = 0))"),0.750216190924145)</f>
        <v>0.75021619092414504</v>
      </c>
    </row>
    <row r="6" spans="1:10" x14ac:dyDescent="0.25">
      <c r="A6" s="23"/>
      <c r="B6" s="15" t="s">
        <v>16</v>
      </c>
      <c r="C6" s="14">
        <f ca="1">IFERROR(__xludf.DUMMYFUNCTION("average(FILTER(SinglePrompt!F7:F55, MOD(ROW(SinglePrompt!F7:F55) - ROW(SinglePrompt!F7), 8) = 0))"),0.309523809523809)</f>
        <v>0.30952380952380898</v>
      </c>
      <c r="D6" s="14">
        <f ca="1">IFERROR(__xludf.DUMMYFUNCTION("average(FILTER(SinglePrompt!G7:G55, MOD(ROW(SinglePrompt!G7:G55) - ROW(SinglePrompt!G7), 8) = 0))"),0.20439084724799)</f>
        <v>0.20439084724799</v>
      </c>
      <c r="E6" s="14">
        <f ca="1">IFERROR(__xludf.DUMMYFUNCTION("average(FILTER(SinglePrompt!H7:H55, MOD(ROW(SinglePrompt!H7:H55) - ROW(SinglePrompt!H7), 8) = 0))"),0.234827264239028)</f>
        <v>0.234827264239028</v>
      </c>
      <c r="F6" s="23"/>
      <c r="G6" s="15" t="s">
        <v>16</v>
      </c>
      <c r="H6" s="14">
        <f ca="1">IFERROR(__xludf.DUMMYFUNCTION("average(FILTER(SinglePrompt!P7:P63, MOD(ROW(SinglePrompt!P7:P63) - ROW(SinglePrompt!P7), 8) = 0))"),0.724404761904761)</f>
        <v>0.724404761904761</v>
      </c>
      <c r="I6" s="14">
        <f ca="1">IFERROR(__xludf.DUMMYFUNCTION("average(FILTER(SinglePrompt!Q7:Q63, MOD(ROW(SinglePrompt!Q7:Q63) - ROW(SinglePrompt!Q7), 8) = 0))"),0.520616883116883)</f>
        <v>0.52061688311688303</v>
      </c>
      <c r="J6" s="14">
        <f ca="1">IFERROR(__xludf.DUMMYFUNCTION("average(FILTER(SinglePrompt!R7:R63, MOD(ROW(SinglePrompt!R7:R63) - ROW(SinglePrompt!R7), 8) = 0))"),0.564546564546564)</f>
        <v>0.56454656454656404</v>
      </c>
    </row>
    <row r="7" spans="1:10" x14ac:dyDescent="0.25">
      <c r="A7" s="23"/>
      <c r="B7" s="15" t="s">
        <v>17</v>
      </c>
      <c r="C7" s="14">
        <f ca="1">IFERROR(__xludf.DUMMYFUNCTION("average(FILTER(SinglePrompt!F8:F56, MOD(ROW(SinglePrompt!F8:F56) - ROW(SinglePrompt!F8), 8) = 0))"),0)</f>
        <v>0</v>
      </c>
      <c r="D7" s="14">
        <f ca="1">IFERROR(__xludf.DUMMYFUNCTION("average(FILTER(SinglePrompt!G8:G56, MOD(ROW(SinglePrompt!G8:G56) - ROW(SinglePrompt!G8), 8) = 0))"),0)</f>
        <v>0</v>
      </c>
      <c r="E7" s="14">
        <f ca="1">IFERROR(__xludf.DUMMYFUNCTION("average(FILTER(SinglePrompt!H8:H56, MOD(ROW(SinglePrompt!H8:H56) - ROW(SinglePrompt!H8), 8) = 0))"),0)</f>
        <v>0</v>
      </c>
      <c r="F7" s="23"/>
      <c r="G7" s="15" t="s">
        <v>17</v>
      </c>
      <c r="H7" s="14">
        <f ca="1">IFERROR(__xludf.DUMMYFUNCTION("average(FILTER(SinglePrompt!P8:P64, MOD(ROW(SinglePrompt!P8:P64) - ROW(SinglePrompt!P8), 8) = 0))"),0.285714285714285)</f>
        <v>0.28571428571428498</v>
      </c>
      <c r="I7" s="14">
        <f ca="1">IFERROR(__xludf.DUMMYFUNCTION("average(FILTER(SinglePrompt!Q8:Q64, MOD(ROW(SinglePrompt!Q8:Q64) - ROW(SinglePrompt!Q8), 8) = 0))"),0.114285714285714)</f>
        <v>0.114285714285714</v>
      </c>
      <c r="J7" s="14">
        <f ca="1">IFERROR(__xludf.DUMMYFUNCTION("average(FILTER(SinglePrompt!R8:R64, MOD(ROW(SinglePrompt!R8:R64) - ROW(SinglePrompt!R8), 8) = 0))"),0.163265306122449)</f>
        <v>0.16326530612244899</v>
      </c>
    </row>
    <row r="8" spans="1:10" x14ac:dyDescent="0.25">
      <c r="A8" s="23"/>
      <c r="B8" s="15" t="s">
        <v>18</v>
      </c>
      <c r="C8" s="14">
        <f ca="1">IFERROR(__xludf.DUMMYFUNCTION("average(FILTER(SinglePrompt!F9:F57, MOD(ROW(SinglePrompt!F9:F57) - ROW(SinglePrompt!F9), 8) = 0))"),0.714285714285714)</f>
        <v>0.71428571428571397</v>
      </c>
      <c r="D8" s="14">
        <f ca="1">IFERROR(__xludf.DUMMYFUNCTION("average(FILTER(SinglePrompt!G9:G57, MOD(ROW(SinglePrompt!G9:G57) - ROW(SinglePrompt!G9), 8) = 0))"),0.499999999999999)</f>
        <v>0.499999999999999</v>
      </c>
      <c r="E8" s="14">
        <f ca="1">IFERROR(__xludf.DUMMYFUNCTION("average(FILTER(SinglePrompt!H9:H57, MOD(ROW(SinglePrompt!H9:H57) - ROW(SinglePrompt!H9), 8) = 0))"),0.58095238095238)</f>
        <v>0.58095238095238</v>
      </c>
      <c r="F8" s="23"/>
      <c r="G8" s="15" t="s">
        <v>18</v>
      </c>
      <c r="H8" s="14">
        <f ca="1">IFERROR(__xludf.DUMMYFUNCTION("average(FILTER(SinglePrompt!P9:P65, MOD(ROW(SinglePrompt!P9:P65) - ROW(SinglePrompt!P9), 8) = 0))"),0.564583333333333)</f>
        <v>0.56458333333333299</v>
      </c>
      <c r="I8" s="14">
        <f ca="1">IFERROR(__xludf.DUMMYFUNCTION("average(FILTER(SinglePrompt!Q9:Q65, MOD(ROW(SinglePrompt!Q9:Q65) - ROW(SinglePrompt!Q9), 8) = 0))"),0.833333333333333)</f>
        <v>0.83333333333333304</v>
      </c>
      <c r="J8" s="14">
        <f ca="1">IFERROR(__xludf.DUMMYFUNCTION("average(FILTER(SinglePrompt!R9:R65, MOD(ROW(SinglePrompt!R9:R65) - ROW(SinglePrompt!R9), 8) = 0))"),0.650892857142857)</f>
        <v>0.65089285714285705</v>
      </c>
    </row>
    <row r="9" spans="1:10" x14ac:dyDescent="0.25">
      <c r="A9" s="23"/>
      <c r="B9" s="15" t="s">
        <v>19</v>
      </c>
      <c r="C9" s="14">
        <f ca="1">IFERROR(__xludf.DUMMYFUNCTION("average(FILTER(SinglePrompt!F10:F58, MOD(ROW(SinglePrompt!F10:F58) - ROW(SinglePrompt!F10), 8) = 0))"),0.333333333333333)</f>
        <v>0.33333333333333298</v>
      </c>
      <c r="D9" s="14">
        <f ca="1">IFERROR(__xludf.DUMMYFUNCTION("average(FILTER(SinglePrompt!G10:G58, MOD(ROW(SinglePrompt!G10:G58) - ROW(SinglePrompt!G10), 8) = 0))"),0.133333333333333)</f>
        <v>0.133333333333333</v>
      </c>
      <c r="E9" s="14">
        <f ca="1">IFERROR(__xludf.DUMMYFUNCTION("average(FILTER(SinglePrompt!H10:H58, MOD(ROW(SinglePrompt!H10:H58) - ROW(SinglePrompt!H10), 8) = 0))"),0.19047619047619)</f>
        <v>0.19047619047618999</v>
      </c>
      <c r="F9" s="23"/>
      <c r="G9" s="15" t="s">
        <v>19</v>
      </c>
      <c r="H9" s="14">
        <f ca="1">IFERROR(__xludf.DUMMYFUNCTION("average(FILTER(SinglePrompt!P10:P66, MOD(ROW(SinglePrompt!P10:P66) - ROW(SinglePrompt!P10), 8) = 0))"),0.45)</f>
        <v>0.45</v>
      </c>
      <c r="I9" s="14">
        <f ca="1">IFERROR(__xludf.DUMMYFUNCTION("average(FILTER(SinglePrompt!Q10:Q66, MOD(ROW(SinglePrompt!Q10:Q66) - ROW(SinglePrompt!Q10), 8) = 0))"),0.7)</f>
        <v>0.7</v>
      </c>
      <c r="J9" s="14">
        <f ca="1">IFERROR(__xludf.DUMMYFUNCTION("average(FILTER(SinglePrompt!R10:R66, MOD(ROW(SinglePrompt!R10:R66) - ROW(SinglePrompt!R10), 8) = 0))"),0.533333333333333)</f>
        <v>0.53333333333333299</v>
      </c>
    </row>
    <row r="10" spans="1:10" x14ac:dyDescent="0.25">
      <c r="A10" s="23"/>
      <c r="B10" s="15" t="s">
        <v>20</v>
      </c>
      <c r="C10" s="14">
        <f ca="1">IFERROR(__xludf.DUMMYFUNCTION("average(FILTER(SinglePrompt!F11:F59, MOD(ROW(SinglePrompt!F11:F59) - ROW(SinglePrompt!F11), 8) = 0))"),0.428571428571428)</f>
        <v>0.42857142857142799</v>
      </c>
      <c r="D10" s="14">
        <f ca="1">IFERROR(__xludf.DUMMYFUNCTION("average(FILTER(SinglePrompt!G11:G59, MOD(ROW(SinglePrompt!G11:G59) - ROW(SinglePrompt!G11), 8) = 0))"),0.428571428571428)</f>
        <v>0.42857142857142799</v>
      </c>
      <c r="E10" s="14">
        <f ca="1">IFERROR(__xludf.DUMMYFUNCTION("average(FILTER(SinglePrompt!H11:H59, MOD(ROW(SinglePrompt!H11:H59) - ROW(SinglePrompt!H11), 8) = 0))"),0.428571428571428)</f>
        <v>0.42857142857142799</v>
      </c>
      <c r="F10" s="23"/>
      <c r="G10" s="15" t="s">
        <v>20</v>
      </c>
      <c r="H10" s="14">
        <f ca="1">IFERROR(__xludf.DUMMYFUNCTION("average(FILTER(SinglePrompt!P11:P67, MOD(ROW(SinglePrompt!P11:P67) - ROW(SinglePrompt!P11), 8) = 0))"),0.25)</f>
        <v>0.25</v>
      </c>
      <c r="I10" s="14">
        <f ca="1">IFERROR(__xludf.DUMMYFUNCTION("average(FILTER(SinglePrompt!Q11:Q67, MOD(ROW(SinglePrompt!Q11:Q67) - ROW(SinglePrompt!Q11), 8) = 0))"),0.25)</f>
        <v>0.25</v>
      </c>
      <c r="J10" s="14">
        <f ca="1">IFERROR(__xludf.DUMMYFUNCTION("average(FILTER(SinglePrompt!R11:R67, MOD(ROW(SinglePrompt!R11:R67) - ROW(SinglePrompt!R11), 8) = 0))"),0.25)</f>
        <v>0.25</v>
      </c>
    </row>
    <row r="11" spans="1:10" x14ac:dyDescent="0.25">
      <c r="A11" s="24"/>
      <c r="B11" s="15" t="s">
        <v>21</v>
      </c>
      <c r="C11" s="14">
        <f ca="1">IFERROR(__xludf.DUMMYFUNCTION("average(FILTER(SinglePrompt!F12:F60, MOD(ROW(SinglePrompt!F12:F60) - ROW(SinglePrompt!F12), 8) = 0))"),0.712953657387155)</f>
        <v>0.71295365738715499</v>
      </c>
      <c r="D11" s="14">
        <f ca="1">IFERROR(__xludf.DUMMYFUNCTION("average(FILTER(SinglePrompt!G12:G60, MOD(ROW(SinglePrompt!G12:G60) - ROW(SinglePrompt!G12), 8) = 0))"),0.450109980531703)</f>
        <v>0.45010998053170298</v>
      </c>
      <c r="E11" s="14">
        <f ca="1">IFERROR(__xludf.DUMMYFUNCTION("average(FILTER(SinglePrompt!H12:H60, MOD(ROW(SinglePrompt!H12:H60) - ROW(SinglePrompt!H12), 8) = 0))"),0.543055870353385)</f>
        <v>0.54305587035338498</v>
      </c>
      <c r="F11" s="24"/>
      <c r="G11" s="15" t="s">
        <v>21</v>
      </c>
      <c r="H11" s="14">
        <f ca="1">IFERROR(__xludf.DUMMYFUNCTION("average(FILTER(SinglePrompt!P12:P68, MOD(ROW(SinglePrompt!P12:P68) - ROW(SinglePrompt!P12), 8) = 0))"),0.793145058034764)</f>
        <v>0.79314505803476398</v>
      </c>
      <c r="I11" s="14">
        <f ca="1">IFERROR(__xludf.DUMMYFUNCTION("average(FILTER(SinglePrompt!Q12:Q68, MOD(ROW(SinglePrompt!Q12:Q68) - ROW(SinglePrompt!Q12), 8) = 0))"),0.638435031277114)</f>
        <v>0.63843503127711398</v>
      </c>
      <c r="J11" s="14">
        <f ca="1">IFERROR(__xludf.DUMMYFUNCTION("average(FILTER(SinglePrompt!R12:R68, MOD(ROW(SinglePrompt!R12:R68) - ROW(SinglePrompt!R12), 8) = 0))"),0.702850440828176)</f>
        <v>0.70285044082817605</v>
      </c>
    </row>
    <row r="12" spans="1:10" x14ac:dyDescent="0.25">
      <c r="A12" s="26" t="s">
        <v>119</v>
      </c>
      <c r="B12" s="15" t="s">
        <v>12</v>
      </c>
      <c r="C12" s="16">
        <f ca="1">IFERROR(__xludf.DUMMYFUNCTION("average(FILTER(StructureDriven!F4:F60, MOD(ROW(StructureDriven!F4:F60) - ROW(StructureDriven!F4), 8) = 0))"),0.783333333333333)</f>
        <v>0.78333333333333299</v>
      </c>
      <c r="D12" s="16">
        <f ca="1">IFERROR(__xludf.DUMMYFUNCTION("average(FILTER(StructureDriven!G4:G60, MOD(ROW(StructureDriven!G4:G60) - ROW(StructureDriven!G4), 8) = 0))"),0.718869498556998)</f>
        <v>0.718869498556998</v>
      </c>
      <c r="E12" s="16">
        <f ca="1">IFERROR(__xludf.DUMMYFUNCTION("average(FILTER(StructureDriven!H4:H60, MOD(ROW(StructureDriven!H4:H60) - ROW(StructureDriven!H4), 8) = 0))"),0.737654645191409)</f>
        <v>0.737654645191409</v>
      </c>
      <c r="F12" s="26" t="s">
        <v>120</v>
      </c>
      <c r="G12" s="15" t="s">
        <v>12</v>
      </c>
      <c r="H12" s="14">
        <f ca="1">IFERROR(__xludf.DUMMYFUNCTION("average(FILTER(StructureDriven!P4:P60, MOD(ROW(StructureDriven!P4:P60) - ROW(StructureDriven!P4), 8) = 0))"),0.785155122655122)</f>
        <v>0.785155122655122</v>
      </c>
      <c r="I12" s="14">
        <f ca="1">IFERROR(__xludf.DUMMYFUNCTION("average(FILTER(StructureDriven!Q4:Q60, MOD(ROW(StructureDriven!Q4:Q60) - ROW(StructureDriven!Q4), 8) = 0))"),0.879901960784313)</f>
        <v>0.87990196078431304</v>
      </c>
      <c r="J12" s="14">
        <f ca="1">IFERROR(__xludf.DUMMYFUNCTION("average(FILTER(StructureDriven!R4:R60, MOD(ROW(StructureDriven!R4:R60) - ROW(StructureDriven!R4), 8) = 0))"),0.82025934956856)</f>
        <v>0.82025934956855995</v>
      </c>
    </row>
    <row r="13" spans="1:10" x14ac:dyDescent="0.25">
      <c r="A13" s="23"/>
      <c r="B13" s="15" t="s">
        <v>15</v>
      </c>
      <c r="C13" s="16">
        <f ca="1">IFERROR(__xludf.DUMMYFUNCTION("average(FILTER(StructureDriven!F5:F61, MOD(ROW(StructureDriven!F5:F61) - ROW(StructureDriven!F5), 8) = 0))"),0.641591778104936)</f>
        <v>0.64159177810493595</v>
      </c>
      <c r="D13" s="16">
        <f ca="1">IFERROR(__xludf.DUMMYFUNCTION("average(FILTER(StructureDriven!G5:G61, MOD(ROW(StructureDriven!G5:G61) - ROW(StructureDriven!G5), 8) = 0))"),0.627507825412573)</f>
        <v>0.62750782541257299</v>
      </c>
      <c r="E13" s="16">
        <f ca="1">IFERROR(__xludf.DUMMYFUNCTION("average(FILTER(StructureDriven!H5:H61, MOD(ROW(StructureDriven!H5:H61) - ROW(StructureDriven!H5), 8) = 0))"),0.627698016593207)</f>
        <v>0.62769801659320701</v>
      </c>
      <c r="F13" s="23"/>
      <c r="G13" s="15" t="s">
        <v>15</v>
      </c>
      <c r="H13" s="14">
        <f ca="1">IFERROR(__xludf.DUMMYFUNCTION("average(FILTER(StructureDriven!P5:P61, MOD(ROW(StructureDriven!P5:P61) - ROW(StructureDriven!P5), 8) = 0))"),0.599583147653)</f>
        <v>0.59958314765300003</v>
      </c>
      <c r="I13" s="14">
        <f ca="1">IFERROR(__xludf.DUMMYFUNCTION("average(FILTER(StructureDriven!Q5:Q61, MOD(ROW(StructureDriven!Q5:Q61) - ROW(StructureDriven!Q5), 8) = 0))"),0.466212772734511)</f>
        <v>0.46621277273451101</v>
      </c>
      <c r="J13" s="14">
        <f ca="1">IFERROR(__xludf.DUMMYFUNCTION("average(FILTER(StructureDriven!R5:R61, MOD(ROW(StructureDriven!R5:R61) - ROW(StructureDriven!R5), 8) = 0))"),0.514499136949794)</f>
        <v>0.51449913694979399</v>
      </c>
    </row>
    <row r="14" spans="1:10" x14ac:dyDescent="0.25">
      <c r="A14" s="23"/>
      <c r="B14" s="15" t="s">
        <v>16</v>
      </c>
      <c r="C14" s="16">
        <f ca="1">IFERROR(__xludf.DUMMYFUNCTION("average(FILTER(StructureDriven!F6:F62, MOD(ROW(StructureDriven!F6:F62) - ROW(StructureDriven!F6), 8) = 0))"),0.34375)</f>
        <v>0.34375</v>
      </c>
      <c r="D14" s="16">
        <f ca="1">IFERROR(__xludf.DUMMYFUNCTION("average(FILTER(StructureDriven!G6:G62, MOD(ROW(StructureDriven!G6:G62) - ROW(StructureDriven!G6), 8) = 0))"),0.246428571428571)</f>
        <v>0.246428571428571</v>
      </c>
      <c r="E14" s="16">
        <f ca="1">IFERROR(__xludf.DUMMYFUNCTION("average(FILTER(StructureDriven!H6:H62, MOD(ROW(StructureDriven!H6:H62) - ROW(StructureDriven!H6), 8) = 0))"),0.261111111111111)</f>
        <v>0.26111111111111102</v>
      </c>
      <c r="F14" s="23"/>
      <c r="G14" s="15" t="s">
        <v>16</v>
      </c>
      <c r="H14" s="14">
        <f ca="1">IFERROR(__xludf.DUMMYFUNCTION("average(FILTER(StructureDriven!P6:P62, MOD(ROW(StructureDriven!P6:P62) - ROW(StructureDriven!P6), 8) = 0))"),0.275297619047619)</f>
        <v>0.27529761904761901</v>
      </c>
      <c r="I14" s="14">
        <f ca="1">IFERROR(__xludf.DUMMYFUNCTION("average(FILTER(StructureDriven!Q6:Q62, MOD(ROW(StructureDriven!Q6:Q62) - ROW(StructureDriven!Q6), 8) = 0))"),0.358387445887445)</f>
        <v>0.35838744588744498</v>
      </c>
      <c r="J14" s="14">
        <f ca="1">IFERROR(__xludf.DUMMYFUNCTION("average(FILTER(StructureDriven!R6:R62, MOD(ROW(StructureDriven!R6:R62) - ROW(StructureDriven!R6), 8) = 0))"),0.274422799422799)</f>
        <v>0.27442279942279901</v>
      </c>
    </row>
    <row r="15" spans="1:10" x14ac:dyDescent="0.25">
      <c r="A15" s="23"/>
      <c r="B15" s="15" t="s">
        <v>17</v>
      </c>
      <c r="C15" s="16">
        <f ca="1">IFERROR(__xludf.DUMMYFUNCTION("average(FILTER(StructureDriven!F7:F63, MOD(ROW(StructureDriven!F7:F63) - ROW(StructureDriven!F7), 8) = 0))"),0.316083916083916)</f>
        <v>0.31608391608391601</v>
      </c>
      <c r="D15" s="16">
        <f ca="1">IFERROR(__xludf.DUMMYFUNCTION("average(FILTER(StructureDriven!G7:G63, MOD(ROW(StructureDriven!G7:G63) - ROW(StructureDriven!G7), 8) = 0))"),0.389377289377289)</f>
        <v>0.38937728937728899</v>
      </c>
      <c r="E15" s="16">
        <f ca="1">IFERROR(__xludf.DUMMYFUNCTION("average(FILTER(StructureDriven!H7:H63, MOD(ROW(StructureDriven!H7:H63) - ROW(StructureDriven!H7), 8) = 0))"),0.324959993566804)</f>
        <v>0.324959993566804</v>
      </c>
      <c r="F15" s="23"/>
      <c r="G15" s="15" t="s">
        <v>17</v>
      </c>
      <c r="H15" s="14">
        <f ca="1">IFERROR(__xludf.DUMMYFUNCTION("average(FILTER(StructureDriven!P7:P63, MOD(ROW(StructureDriven!P7:P63) - ROW(StructureDriven!P7), 8) = 0))"),0.309090909090909)</f>
        <v>0.30909090909090903</v>
      </c>
      <c r="I15" s="14">
        <f ca="1">IFERROR(__xludf.DUMMYFUNCTION("average(FILTER(StructureDriven!Q7:Q63, MOD(ROW(StructureDriven!Q7:Q63) - ROW(StructureDriven!Q7), 8) = 0))"),0.255119047619047)</f>
        <v>0.25511904761904702</v>
      </c>
      <c r="J15" s="14">
        <f ca="1">IFERROR(__xludf.DUMMYFUNCTION("average(FILTER(StructureDriven!R7:R63, MOD(ROW(StructureDriven!R7:R63) - ROW(StructureDriven!R7), 8) = 0))"),0.237959239183229)</f>
        <v>0.237959239183229</v>
      </c>
    </row>
    <row r="16" spans="1:10" x14ac:dyDescent="0.25">
      <c r="A16" s="23"/>
      <c r="B16" s="15" t="s">
        <v>18</v>
      </c>
      <c r="C16" s="16">
        <f ca="1">IFERROR(__xludf.DUMMYFUNCTION("average(FILTER(StructureDriven!F8:F64, MOD(ROW(StructureDriven!F8:F64) - ROW(StructureDriven!F8), 8) = 0))"),0.625)</f>
        <v>0.625</v>
      </c>
      <c r="D16" s="16">
        <f ca="1">IFERROR(__xludf.DUMMYFUNCTION("average(FILTER(StructureDriven!G8:G64, MOD(ROW(StructureDriven!G8:G64) - ROW(StructureDriven!G8), 8) = 0))"),0.88125)</f>
        <v>0.88124999999999998</v>
      </c>
      <c r="E16" s="16">
        <f ca="1">IFERROR(__xludf.DUMMYFUNCTION("average(FILTER(StructureDriven!H8:H64, MOD(ROW(StructureDriven!H8:H64) - ROW(StructureDriven!H8), 8) = 0))"),0.696230158730158)</f>
        <v>0.69623015873015803</v>
      </c>
      <c r="F16" s="23"/>
      <c r="G16" s="15" t="s">
        <v>18</v>
      </c>
      <c r="H16" s="14">
        <f ca="1">IFERROR(__xludf.DUMMYFUNCTION("average(FILTER(StructureDriven!P8:P64, MOD(ROW(StructureDriven!P8:P64) - ROW(StructureDriven!P8), 8) = 0))"),0.455357142857142)</f>
        <v>0.45535714285714202</v>
      </c>
      <c r="I16" s="14">
        <f ca="1">IFERROR(__xludf.DUMMYFUNCTION("average(FILTER(StructureDriven!Q8:Q64, MOD(ROW(StructureDriven!Q8:Q64) - ROW(StructureDriven!Q8), 8) = 0))"),0.90625)</f>
        <v>0.90625</v>
      </c>
      <c r="J16" s="14">
        <f ca="1">IFERROR(__xludf.DUMMYFUNCTION("average(FILTER(StructureDriven!R8:R64, MOD(ROW(StructureDriven!R8:R64) - ROW(StructureDriven!R8), 8) = 0))"),0.55922619047619)</f>
        <v>0.55922619047619004</v>
      </c>
    </row>
    <row r="17" spans="1:10" x14ac:dyDescent="0.25">
      <c r="A17" s="23"/>
      <c r="B17" s="15" t="s">
        <v>19</v>
      </c>
      <c r="C17" s="16">
        <f ca="1">IFERROR(__xludf.DUMMYFUNCTION("average(FILTER(StructureDriven!F9:F65, MOD(ROW(StructureDriven!F9:F65) - ROW(StructureDriven!F9), 8) = 0))"),0.25)</f>
        <v>0.25</v>
      </c>
      <c r="D17" s="16">
        <f ca="1">IFERROR(__xludf.DUMMYFUNCTION("average(FILTER(StructureDriven!G9:G65, MOD(ROW(StructureDriven!G9:G65) - ROW(StructureDriven!G9), 8) = 0))"),0.1)</f>
        <v>0.1</v>
      </c>
      <c r="E17" s="16">
        <f ca="1">IFERROR(__xludf.DUMMYFUNCTION("average(FILTER(StructureDriven!H9:H65, MOD(ROW(StructureDriven!H9:H65) - ROW(StructureDriven!H9), 8) = 0))"),0.142857142857142)</f>
        <v>0.14285714285714199</v>
      </c>
      <c r="F17" s="23"/>
      <c r="G17" s="15" t="s">
        <v>19</v>
      </c>
      <c r="H17" s="14">
        <f ca="1">IFERROR(__xludf.DUMMYFUNCTION("average(FILTER(StructureDriven!P9:P65, MOD(ROW(StructureDriven!P9:P65) - ROW(StructureDriven!P9), 8) = 0))"),0.479166666666666)</f>
        <v>0.47916666666666602</v>
      </c>
      <c r="I17" s="14">
        <f ca="1">IFERROR(__xludf.DUMMYFUNCTION("average(FILTER(StructureDriven!Q9:Q65, MOD(ROW(StructureDriven!Q9:Q65) - ROW(StructureDriven!Q9), 8) = 0))"),0.65)</f>
        <v>0.65</v>
      </c>
      <c r="J17" s="14">
        <f ca="1">IFERROR(__xludf.DUMMYFUNCTION("average(FILTER(StructureDriven!R9:R65, MOD(ROW(StructureDriven!R9:R65) - ROW(StructureDriven!R9), 8) = 0))"),0.533333333333333)</f>
        <v>0.53333333333333299</v>
      </c>
    </row>
    <row r="18" spans="1:10" x14ac:dyDescent="0.25">
      <c r="A18" s="23"/>
      <c r="B18" s="15" t="s">
        <v>20</v>
      </c>
      <c r="C18" s="16">
        <f ca="1">IFERROR(__xludf.DUMMYFUNCTION("average(FILTER(StructureDriven!F10:F66, MOD(ROW(StructureDriven!F10:F66) - ROW(StructureDriven!F10), 8) = 0))"),0.125)</f>
        <v>0.125</v>
      </c>
      <c r="D18" s="16">
        <f ca="1">IFERROR(__xludf.DUMMYFUNCTION("average(FILTER(StructureDriven!G10:G66, MOD(ROW(StructureDriven!G10:G66) - ROW(StructureDriven!G10), 8) = 0))"),0.125)</f>
        <v>0.125</v>
      </c>
      <c r="E18" s="16">
        <f ca="1">IFERROR(__xludf.DUMMYFUNCTION("average(FILTER(StructureDriven!H10:H66, MOD(ROW(StructureDriven!H10:H66) - ROW(StructureDriven!H10), 8) = 0))"),0.125)</f>
        <v>0.125</v>
      </c>
      <c r="F18" s="23"/>
      <c r="G18" s="15" t="s">
        <v>20</v>
      </c>
      <c r="H18" s="14">
        <f ca="1">IFERROR(__xludf.DUMMYFUNCTION("average(FILTER(StructureDriven!P10:P66, MOD(ROW(StructureDriven!P10:P66) - ROW(StructureDriven!P10), 8) = 0))"),0.125)</f>
        <v>0.125</v>
      </c>
      <c r="I18" s="14">
        <f ca="1">IFERROR(__xludf.DUMMYFUNCTION("average(FILTER(StructureDriven!Q10:Q66, MOD(ROW(StructureDriven!Q10:Q66) - ROW(StructureDriven!Q10), 8) = 0))"),0.125)</f>
        <v>0.125</v>
      </c>
      <c r="J18" s="14">
        <f ca="1">IFERROR(__xludf.DUMMYFUNCTION("average(FILTER(StructureDriven!R10:R66, MOD(ROW(StructureDriven!R10:R66) - ROW(StructureDriven!R10), 8) = 0))"),0.125)</f>
        <v>0.125</v>
      </c>
    </row>
    <row r="19" spans="1:10" x14ac:dyDescent="0.25">
      <c r="A19" s="24"/>
      <c r="B19" s="15" t="s">
        <v>21</v>
      </c>
      <c r="C19" s="16">
        <f ca="1">IFERROR(__xludf.DUMMYFUNCTION("average(FILTER(StructureDriven!F11:F67, MOD(ROW(StructureDriven!F11:F67) - ROW(StructureDriven!F11), 8) = 0))"),0.656205843431751)</f>
        <v>0.65620584343175103</v>
      </c>
      <c r="D19" s="16">
        <f ca="1">IFERROR(__xludf.DUMMYFUNCTION("average(FILTER(StructureDriven!G11:G67, MOD(ROW(StructureDriven!G11:G67) - ROW(StructureDriven!G11), 8) = 0))"),0.626799764978479)</f>
        <v>0.626799764978479</v>
      </c>
      <c r="E19" s="16">
        <f ca="1">IFERROR(__xludf.DUMMYFUNCTION("average(FILTER(StructureDriven!H11:H67, MOD(ROW(StructureDriven!H11:H67) - ROW(StructureDriven!H11), 8) = 0))"),0.626003020976564)</f>
        <v>0.62600302097656402</v>
      </c>
      <c r="F19" s="24"/>
      <c r="G19" s="15" t="s">
        <v>21</v>
      </c>
      <c r="H19" s="14">
        <f ca="1">IFERROR(__xludf.DUMMYFUNCTION("average(FILTER(StructureDriven!P11:P67, MOD(ROW(StructureDriven!P11:P67) - ROW(StructureDriven!P11), 8) = 0))"),0.50406925739173)</f>
        <v>0.50406925739173003</v>
      </c>
      <c r="I19" s="14">
        <f ca="1">IFERROR(__xludf.DUMMYFUNCTION("average(FILTER(StructureDriven!Q11:Q67, MOD(ROW(StructureDriven!Q11:Q67) - ROW(StructureDriven!Q11), 8) = 0))"),0.511624312069533)</f>
        <v>0.51162431206953296</v>
      </c>
      <c r="J19" s="14">
        <f ca="1">IFERROR(__xludf.DUMMYFUNCTION("average(FILTER(StructureDriven!R11:R67, MOD(ROW(StructureDriven!R11:R67) - ROW(StructureDriven!R11), 8) = 0))"),0.502616176003648)</f>
        <v>0.50261617600364805</v>
      </c>
    </row>
    <row r="20" spans="1:10" x14ac:dyDescent="0.25">
      <c r="A20" s="26" t="s">
        <v>121</v>
      </c>
      <c r="B20" s="15" t="s">
        <v>12</v>
      </c>
      <c r="C20" s="14">
        <f ca="1">IFERROR(__xludf.DUMMYFUNCTION("average(FILTER(EventDriven!F4:F60, MOD(ROW(EventDriven!F4:F60) - ROW(EventDriven!F4), 8) = 0))"),0.625958110516934)</f>
        <v>0.62595811051693395</v>
      </c>
      <c r="D20" s="14">
        <f ca="1">IFERROR(__xludf.DUMMYFUNCTION("average(FILTER(EventDriven!G4:G60, MOD(ROW(EventDriven!G4:G60) - ROW(EventDriven!G4), 8) = 0))"),0.758403361344537)</f>
        <v>0.75840336134453701</v>
      </c>
      <c r="E20" s="14">
        <f ca="1">IFERROR(__xludf.DUMMYFUNCTION("average(FILTER(EventDriven!H4:H60, MOD(ROW(EventDriven!H4:H60) - ROW(EventDriven!H4), 8) = 0))"),0.658405664897537)</f>
        <v>0.65840566489753705</v>
      </c>
      <c r="F20" s="26" t="s">
        <v>122</v>
      </c>
      <c r="G20" s="15" t="s">
        <v>12</v>
      </c>
      <c r="H20" s="14">
        <f ca="1">IFERROR(__xludf.DUMMYFUNCTION("average(FILTER(EventDriven!P4:P60, MOD(ROW(EventDriven!P4:P60) - ROW(EventDriven!P4), 8) = 0))"),0.611210144022644)</f>
        <v>0.61121014402264395</v>
      </c>
      <c r="I20" s="14">
        <f ca="1">IFERROR(__xludf.DUMMYFUNCTION("average(FILTER(EventDriven!Q4:Q60, MOD(ROW(EventDriven!Q4:Q60) - ROW(EventDriven!Q4), 8) = 0))"),0.944444444444444)</f>
        <v>0.94444444444444398</v>
      </c>
      <c r="J20" s="14">
        <f ca="1">IFERROR(__xludf.DUMMYFUNCTION("average(FILTER(EventDriven!R4:R60, MOD(ROW(EventDriven!R4:R60) - ROW(EventDriven!R4), 8) = 0))"),0.731360082518549)</f>
        <v>0.731360082518549</v>
      </c>
    </row>
    <row r="21" spans="1:10" x14ac:dyDescent="0.25">
      <c r="A21" s="23"/>
      <c r="B21" s="15" t="s">
        <v>15</v>
      </c>
      <c r="C21" s="14">
        <f ca="1">IFERROR(__xludf.DUMMYFUNCTION("average(FILTER(EventDriven!F5:F61, MOD(ROW(EventDriven!F5:F61) - ROW(EventDriven!F5), 8) = 0))"),0.239726013693876)</f>
        <v>0.239726013693876</v>
      </c>
      <c r="D21" s="14">
        <f ca="1">IFERROR(__xludf.DUMMYFUNCTION("average(FILTER(EventDriven!G5:G61, MOD(ROW(EventDriven!G5:G61) - ROW(EventDriven!G5), 8) = 0))"),0.693722212268407)</f>
        <v>0.69372221226840702</v>
      </c>
      <c r="E21" s="14">
        <f ca="1">IFERROR(__xludf.DUMMYFUNCTION("average(FILTER(EventDriven!H5:H61, MOD(ROW(EventDriven!H5:H61) - ROW(EventDriven!H5), 8) = 0))"),0.343162307772595)</f>
        <v>0.34316230777259499</v>
      </c>
      <c r="F21" s="23"/>
      <c r="G21" s="15" t="s">
        <v>15</v>
      </c>
      <c r="H21" s="14">
        <f ca="1">IFERROR(__xludf.DUMMYFUNCTION("average(FILTER(EventDriven!P5:P61, MOD(ROW(EventDriven!P5:P61) - ROW(EventDriven!P5), 8) = 0))"),0.196552785855497)</f>
        <v>0.19655278585549699</v>
      </c>
      <c r="I21" s="14">
        <f ca="1">IFERROR(__xludf.DUMMYFUNCTION("average(FILTER(EventDriven!Q5:Q61, MOD(ROW(EventDriven!Q5:Q61) - ROW(EventDriven!Q5), 8) = 0))"),0.683293766921484)</f>
        <v>0.68329376692148402</v>
      </c>
      <c r="J21" s="14">
        <f ca="1">IFERROR(__xludf.DUMMYFUNCTION("average(FILTER(EventDriven!R5:R61, MOD(ROW(EventDriven!R5:R61) - ROW(EventDriven!R5), 8) = 0))"),0.298801289127629)</f>
        <v>0.29880128912762899</v>
      </c>
    </row>
    <row r="22" spans="1:10" x14ac:dyDescent="0.25">
      <c r="A22" s="23"/>
      <c r="B22" s="15" t="s">
        <v>16</v>
      </c>
      <c r="C22" s="14">
        <f ca="1">IFERROR(__xludf.DUMMYFUNCTION("average(FILTER(EventDriven!F6:F62, MOD(ROW(EventDriven!F6:F62) - ROW(EventDriven!F6), 8) = 0))"),0.15219017094017)</f>
        <v>0.15219017094017001</v>
      </c>
      <c r="D22" s="14">
        <f ca="1">IFERROR(__xludf.DUMMYFUNCTION("average(FILTER(EventDriven!G6:G62, MOD(ROW(EventDriven!G6:G62) - ROW(EventDriven!G6), 8) = 0))"),0.590178571428571)</f>
        <v>0.590178571428571</v>
      </c>
      <c r="E22" s="14">
        <f ca="1">IFERROR(__xludf.DUMMYFUNCTION("average(FILTER(EventDriven!H6:H62, MOD(ROW(EventDriven!H6:H62) - ROW(EventDriven!H6), 8) = 0))"),0.229471723349132)</f>
        <v>0.22947172334913199</v>
      </c>
      <c r="F22" s="23"/>
      <c r="G22" s="15" t="s">
        <v>16</v>
      </c>
      <c r="H22" s="14">
        <f ca="1">IFERROR(__xludf.DUMMYFUNCTION("average(FILTER(EventDriven!P6:P62, MOD(ROW(EventDriven!P6:P62) - ROW(EventDriven!P6), 8) = 0))"),0.094185587041588)</f>
        <v>9.4185587041587998E-2</v>
      </c>
      <c r="I22" s="14">
        <f ca="1">IFERROR(__xludf.DUMMYFUNCTION("average(FILTER(EventDriven!Q6:Q62, MOD(ROW(EventDriven!Q6:Q62) - ROW(EventDriven!Q6), 8) = 0))"),0.443452380952381)</f>
        <v>0.44345238095238099</v>
      </c>
      <c r="J22" s="14">
        <f ca="1">IFERROR(__xludf.DUMMYFUNCTION("average(FILTER(EventDriven!R6:R62, MOD(ROW(EventDriven!R6:R62) - ROW(EventDriven!R6), 8) = 0))"),0.152507991172025)</f>
        <v>0.15250799117202499</v>
      </c>
    </row>
    <row r="23" spans="1:10" x14ac:dyDescent="0.25">
      <c r="A23" s="23"/>
      <c r="B23" s="15" t="s">
        <v>17</v>
      </c>
      <c r="C23" s="14">
        <f ca="1">IFERROR(__xludf.DUMMYFUNCTION("average(FILTER(EventDriven!F7:F63, MOD(ROW(EventDriven!F7:F63) - ROW(EventDriven!F7), 8) = 0))"),0.153263434497829)</f>
        <v>0.153263434497829</v>
      </c>
      <c r="D23" s="14">
        <f ca="1">IFERROR(__xludf.DUMMYFUNCTION("average(FILTER(EventDriven!G7:G63, MOD(ROW(EventDriven!G7:G63) - ROW(EventDriven!G7), 8) = 0))"),0.580506450071667)</f>
        <v>0.58050645007166701</v>
      </c>
      <c r="E23" s="14">
        <f ca="1">IFERROR(__xludf.DUMMYFUNCTION("average(FILTER(EventDriven!H7:H63, MOD(ROW(EventDriven!H7:H63) - ROW(EventDriven!H7), 8) = 0))"),0.239112690488839)</f>
        <v>0.23911269048883901</v>
      </c>
      <c r="F23" s="23"/>
      <c r="G23" s="15" t="s">
        <v>17</v>
      </c>
      <c r="H23" s="14">
        <f ca="1">IFERROR(__xludf.DUMMYFUNCTION("average(FILTER(EventDriven!P7:P63, MOD(ROW(EventDriven!P7:P63) - ROW(EventDriven!P7), 8) = 0))"),0.123950871594906)</f>
        <v>0.123950871594906</v>
      </c>
      <c r="I23" s="14">
        <f ca="1">IFERROR(__xludf.DUMMYFUNCTION("average(FILTER(EventDriven!Q7:Q63, MOD(ROW(EventDriven!Q7:Q63) - ROW(EventDriven!Q7), 8) = 0))"),0.393367346938775)</f>
        <v>0.39336734693877501</v>
      </c>
      <c r="J23" s="14">
        <f ca="1">IFERROR(__xludf.DUMMYFUNCTION("average(FILTER(EventDriven!R7:R63, MOD(ROW(EventDriven!R7:R63) - ROW(EventDriven!R7), 8) = 0))"),0.186244184724427)</f>
        <v>0.186244184724427</v>
      </c>
    </row>
    <row r="24" spans="1:10" x14ac:dyDescent="0.25">
      <c r="A24" s="23"/>
      <c r="B24" s="15" t="s">
        <v>18</v>
      </c>
      <c r="C24" s="14">
        <f ca="1">IFERROR(__xludf.DUMMYFUNCTION("average(FILTER(EventDriven!F8:F64, MOD(ROW(EventDriven!F8:F64) - ROW(EventDriven!F8), 8) = 0))"),0.6375)</f>
        <v>0.63749999999999996</v>
      </c>
      <c r="D24" s="14">
        <f ca="1">IFERROR(__xludf.DUMMYFUNCTION("average(FILTER(EventDriven!G8:G64, MOD(ROW(EventDriven!G8:G64) - ROW(EventDriven!G8), 8) = 0))"),0.741666666666666)</f>
        <v>0.74166666666666603</v>
      </c>
      <c r="E24" s="14">
        <f ca="1">IFERROR(__xludf.DUMMYFUNCTION("average(FILTER(EventDriven!H8:H64, MOD(ROW(EventDriven!H8:H64) - ROW(EventDriven!H8), 8) = 0))"),0.620833333333333)</f>
        <v>0.62083333333333302</v>
      </c>
      <c r="F24" s="23"/>
      <c r="G24" s="15" t="s">
        <v>18</v>
      </c>
      <c r="H24" s="14">
        <f ca="1">IFERROR(__xludf.DUMMYFUNCTION("average(FILTER(EventDriven!P8:P64, MOD(ROW(EventDriven!P8:P64) - ROW(EventDriven!P8), 8) = 0))"),0.389583333333333)</f>
        <v>0.389583333333333</v>
      </c>
      <c r="I24" s="14">
        <f ca="1">IFERROR(__xludf.DUMMYFUNCTION("average(FILTER(EventDriven!Q8:Q64, MOD(ROW(EventDriven!Q8:Q64) - ROW(EventDriven!Q8), 8) = 0))"),0.729166666666666)</f>
        <v>0.72916666666666596</v>
      </c>
      <c r="J24" s="14">
        <f ca="1">IFERROR(__xludf.DUMMYFUNCTION("average(FILTER(EventDriven!R8:R64, MOD(ROW(EventDriven!R8:R64) - ROW(EventDriven!R8), 8) = 0))"),0.475)</f>
        <v>0.47499999999999998</v>
      </c>
    </row>
    <row r="25" spans="1:10" x14ac:dyDescent="0.25">
      <c r="A25" s="23"/>
      <c r="B25" s="15" t="s">
        <v>19</v>
      </c>
      <c r="C25" s="14">
        <f ca="1">IFERROR(__xludf.DUMMYFUNCTION("average(FILTER(EventDriven!F9:F65, MOD(ROW(EventDriven!F9:F65) - ROW(EventDriven!F9), 8) = 0))"),0.28125)</f>
        <v>0.28125</v>
      </c>
      <c r="D25" s="14">
        <f ca="1">IFERROR(__xludf.DUMMYFUNCTION("average(FILTER(EventDriven!G9:G65, MOD(ROW(EventDriven!G9:G65) - ROW(EventDriven!G9), 8) = 0))"),0.375)</f>
        <v>0.375</v>
      </c>
      <c r="E25" s="14">
        <f ca="1">IFERROR(__xludf.DUMMYFUNCTION("average(FILTER(EventDriven!H9:H65, MOD(ROW(EventDriven!H9:H65) - ROW(EventDriven!H9), 8) = 0))"),0.317307692307692)</f>
        <v>0.31730769230769201</v>
      </c>
      <c r="F25" s="23"/>
      <c r="G25" s="15" t="s">
        <v>19</v>
      </c>
      <c r="H25" s="14">
        <f ca="1">IFERROR(__xludf.DUMMYFUNCTION("average(FILTER(EventDriven!P9:P65, MOD(ROW(EventDriven!P9:P65) - ROW(EventDriven!P9), 8) = 0))"),0.483333333333333)</f>
        <v>0.483333333333333</v>
      </c>
      <c r="I25" s="14">
        <f ca="1">IFERROR(__xludf.DUMMYFUNCTION("average(FILTER(EventDriven!Q9:Q65, MOD(ROW(EventDriven!Q9:Q65) - ROW(EventDriven!Q9), 8) = 0))"),0.65)</f>
        <v>0.65</v>
      </c>
      <c r="J25" s="14">
        <f ca="1">IFERROR(__xludf.DUMMYFUNCTION("average(FILTER(EventDriven!R9:R65, MOD(ROW(EventDriven!R9:R65) - ROW(EventDriven!R9), 8) = 0))"),0.55)</f>
        <v>0.55000000000000004</v>
      </c>
    </row>
    <row r="26" spans="1:10" x14ac:dyDescent="0.25">
      <c r="A26" s="23"/>
      <c r="B26" s="15" t="s">
        <v>20</v>
      </c>
      <c r="C26" s="14">
        <f ca="1">IFERROR(__xludf.DUMMYFUNCTION("average(FILTER(EventDriven!F10:F66, MOD(ROW(EventDriven!F10:F66) - ROW(EventDriven!F10), 8) = 0))"),0.1875)</f>
        <v>0.1875</v>
      </c>
      <c r="D26" s="14">
        <f ca="1">IFERROR(__xludf.DUMMYFUNCTION("average(FILTER(EventDriven!G10:G66, MOD(ROW(EventDriven!G10:G66) - ROW(EventDriven!G10), 8) = 0))"),0.25)</f>
        <v>0.25</v>
      </c>
      <c r="E26" s="14">
        <f ca="1">IFERROR(__xludf.DUMMYFUNCTION("average(FILTER(EventDriven!H10:H66, MOD(ROW(EventDriven!H10:H66) - ROW(EventDriven!H10), 8) = 0))"),0.208333333333333)</f>
        <v>0.20833333333333301</v>
      </c>
      <c r="F26" s="23"/>
      <c r="G26" s="15" t="s">
        <v>20</v>
      </c>
      <c r="H26" s="14">
        <f ca="1">IFERROR(__xludf.DUMMYFUNCTION("average(FILTER(EventDriven!P10:P66, MOD(ROW(EventDriven!P10:P66) - ROW(EventDriven!P10), 8) = 0))"),0.4375)</f>
        <v>0.4375</v>
      </c>
      <c r="I26" s="14">
        <f ca="1">IFERROR(__xludf.DUMMYFUNCTION("average(FILTER(EventDriven!Q10:Q66, MOD(ROW(EventDriven!Q10:Q66) - ROW(EventDriven!Q10), 8) = 0))"),0.5)</f>
        <v>0.5</v>
      </c>
      <c r="J26" s="14">
        <f ca="1">IFERROR(__xludf.DUMMYFUNCTION("average(FILTER(EventDriven!R10:R66, MOD(ROW(EventDriven!R10:R66) - ROW(EventDriven!R10), 8) = 0))"),0.458333333333333)</f>
        <v>0.45833333333333298</v>
      </c>
    </row>
    <row r="27" spans="1:10" x14ac:dyDescent="0.25">
      <c r="A27" s="24"/>
      <c r="B27" s="15" t="s">
        <v>21</v>
      </c>
      <c r="C27" s="14">
        <f ca="1">IFERROR(__xludf.DUMMYFUNCTION("average(FILTER(EventDriven!F11:F67, MOD(ROW(EventDriven!F11:F67) - ROW(EventDriven!F11), 8) = 0))"),0.266710459963539)</f>
        <v>0.26671045996353898</v>
      </c>
      <c r="D27" s="14">
        <f ca="1">IFERROR(__xludf.DUMMYFUNCTION("average(FILTER(EventDriven!G11:G67, MOD(ROW(EventDriven!G11:G67) - ROW(EventDriven!G11), 8) = 0))"),0.687016936347588)</f>
        <v>0.68701693634758798</v>
      </c>
      <c r="E27" s="14">
        <f ca="1">IFERROR(__xludf.DUMMYFUNCTION("average(FILTER(EventDriven!H11:H67, MOD(ROW(EventDriven!H11:H67) - ROW(EventDriven!H11), 8) = 0))"),0.373486051489767)</f>
        <v>0.37348605148976699</v>
      </c>
      <c r="F27" s="24"/>
      <c r="G27" s="15" t="s">
        <v>21</v>
      </c>
      <c r="H27" s="14">
        <f ca="1">IFERROR(__xludf.DUMMYFUNCTION("average(FILTER(EventDriven!P11:P67, MOD(ROW(EventDriven!P11:P67) - ROW(EventDriven!P11), 8) = 0))"),0.203751759556656)</f>
        <v>0.203751759556656</v>
      </c>
      <c r="I27" s="14">
        <f ca="1">IFERROR(__xludf.DUMMYFUNCTION("average(FILTER(EventDriven!Q11:Q67, MOD(ROW(EventDriven!Q11:Q67) - ROW(EventDriven!Q11), 8) = 0))"),0.654191005181636)</f>
        <v>0.65419100518163598</v>
      </c>
      <c r="J27" s="14">
        <f ca="1">IFERROR(__xludf.DUMMYFUNCTION("average(FILTER(EventDriven!R11:R67, MOD(ROW(EventDriven!R11:R67) - ROW(EventDriven!R11), 8) = 0))"),0.305217484636523)</f>
        <v>0.30521748463652298</v>
      </c>
    </row>
    <row r="28" spans="1:10" x14ac:dyDescent="0.25">
      <c r="A28" s="26" t="s">
        <v>123</v>
      </c>
      <c r="B28" s="15" t="s">
        <v>12</v>
      </c>
      <c r="C28" s="14">
        <f ca="1">IFERROR(__xludf.DUMMYFUNCTION("average(FILTER(Hybrid!F5:F61, MOD(ROW(Hybrid!F5:F61) - ROW(Hybrid!F5), 8) = 0))"),0.932291666666666)</f>
        <v>0.93229166666666596</v>
      </c>
      <c r="D28" s="14">
        <f ca="1">IFERROR(__xludf.DUMMYFUNCTION("average(FILTER(Hybrid!G5:G61, MOD(ROW(Hybrid!G5:G61) - ROW(Hybrid!G5), 8) = 0))"),0.801661573720397)</f>
        <v>0.80166157372039704</v>
      </c>
      <c r="E28" s="14">
        <f ca="1">IFERROR(__xludf.DUMMYFUNCTION("average(FILTER(Hybrid!H5:H61, MOD(ROW(Hybrid!H5:H61) - ROW(Hybrid!H5), 8) = 0))"),0.858181389266582)</f>
        <v>0.85818138926658205</v>
      </c>
      <c r="F28" s="26" t="s">
        <v>124</v>
      </c>
      <c r="G28" s="15" t="s">
        <v>12</v>
      </c>
      <c r="H28" s="14">
        <f ca="1">IFERROR(__xludf.DUMMYFUNCTION("average(FILTER(Hybrid!P5:P61, MOD(ROW(Hybrid!P5:P61) - ROW(Hybrid!P5), 8) = 0))"),0.910800438596491)</f>
        <v>0.91080043859649096</v>
      </c>
      <c r="I28" s="14">
        <f ca="1">IFERROR(__xludf.DUMMYFUNCTION("average(FILTER(Hybrid!Q5:Q61, MOD(ROW(Hybrid!Q5:Q61) - ROW(Hybrid!Q5), 8) = 0))"),0.853472222222222)</f>
        <v>0.85347222222222197</v>
      </c>
      <c r="J28" s="14">
        <f ca="1">IFERROR(__xludf.DUMMYFUNCTION("average(FILTER(Hybrid!R5:R61, MOD(ROW(Hybrid!R5:R61) - ROW(Hybrid!R5), 8) = 0))"),0.873739035087719)</f>
        <v>0.873739035087719</v>
      </c>
    </row>
    <row r="29" spans="1:10" x14ac:dyDescent="0.25">
      <c r="A29" s="23"/>
      <c r="B29" s="15" t="s">
        <v>15</v>
      </c>
      <c r="C29" s="14">
        <f ca="1">IFERROR(__xludf.DUMMYFUNCTION("average(FILTER(Hybrid!F6:F62, MOD(ROW(Hybrid!F6:F62) - ROW(Hybrid!F6), 8) = 0))"),0.830056493751346)</f>
        <v>0.83005649375134605</v>
      </c>
      <c r="D29" s="14">
        <f ca="1">IFERROR(__xludf.DUMMYFUNCTION("average(FILTER(Hybrid!G6:G62, MOD(ROW(Hybrid!G6:G62) - ROW(Hybrid!G6), 8) = 0))"),0.634930954088952)</f>
        <v>0.63493095408895195</v>
      </c>
      <c r="E29" s="14">
        <f ca="1">IFERROR(__xludf.DUMMYFUNCTION("average(FILTER(Hybrid!H6:H62, MOD(ROW(Hybrid!H6:H62) - ROW(Hybrid!H6), 8) = 0))"),0.710742652002037)</f>
        <v>0.71074265200203701</v>
      </c>
      <c r="F29" s="23"/>
      <c r="G29" s="15" t="s">
        <v>15</v>
      </c>
      <c r="H29" s="14">
        <f ca="1">IFERROR(__xludf.DUMMYFUNCTION("average(FILTER(Hybrid!P6:P62, MOD(ROW(Hybrid!P6:P62) - ROW(Hybrid!P6), 8) = 0))"),0.806999422576048)</f>
        <v>0.80699942257604795</v>
      </c>
      <c r="I29" s="14">
        <f ca="1">IFERROR(__xludf.DUMMYFUNCTION("average(FILTER(Hybrid!Q6:Q62, MOD(ROW(Hybrid!Q6:Q62) - ROW(Hybrid!Q6), 8) = 0))"),0.668767522473818)</f>
        <v>0.66876752247381799</v>
      </c>
      <c r="J29" s="14">
        <f ca="1">IFERROR(__xludf.DUMMYFUNCTION("average(FILTER(Hybrid!R6:R62, MOD(ROW(Hybrid!R6:R62) - ROW(Hybrid!R6), 8) = 0))"),0.72087208869639)</f>
        <v>0.72087208869638997</v>
      </c>
    </row>
    <row r="30" spans="1:10" x14ac:dyDescent="0.25">
      <c r="A30" s="23"/>
      <c r="B30" s="15" t="s">
        <v>16</v>
      </c>
      <c r="C30" s="14">
        <f ca="1">IFERROR(__xludf.DUMMYFUNCTION("average(FILTER(Hybrid!F7:F63, MOD(ROW(Hybrid!F7:F63) - ROW(Hybrid!F7), 8) = 0))"),0.598214285714285)</f>
        <v>0.59821428571428503</v>
      </c>
      <c r="D30" s="14">
        <f ca="1">IFERROR(__xludf.DUMMYFUNCTION("average(FILTER(Hybrid!G7:G63, MOD(ROW(Hybrid!G7:G63) - ROW(Hybrid!G7), 8) = 0))"),0.38125)</f>
        <v>0.38124999999999998</v>
      </c>
      <c r="E30" s="14">
        <f ca="1">IFERROR(__xludf.DUMMYFUNCTION("average(FILTER(Hybrid!H7:H63, MOD(ROW(Hybrid!H7:H63) - ROW(Hybrid!H7), 8) = 0))"),0.423980186480186)</f>
        <v>0.42398018648018598</v>
      </c>
      <c r="F30" s="23"/>
      <c r="G30" s="15" t="s">
        <v>16</v>
      </c>
      <c r="H30" s="14">
        <f ca="1">IFERROR(__xludf.DUMMYFUNCTION("average(FILTER(Hybrid!P7:P63, MOD(ROW(Hybrid!P7:P63) - ROW(Hybrid!P7), 8) = 0))"),0.493402777777777)</f>
        <v>0.49340277777777702</v>
      </c>
      <c r="I30" s="14">
        <f ca="1">IFERROR(__xludf.DUMMYFUNCTION("average(FILTER(Hybrid!Q7:Q63, MOD(ROW(Hybrid!Q7:Q63) - ROW(Hybrid!Q7), 8) = 0))"),0.388176406926406)</f>
        <v>0.38817640692640598</v>
      </c>
      <c r="J30" s="14">
        <f ca="1">IFERROR(__xludf.DUMMYFUNCTION("average(FILTER(Hybrid!R7:R63, MOD(ROW(Hybrid!R7:R63) - ROW(Hybrid!R7), 8) = 0))"),0.415225892528524)</f>
        <v>0.41522589252852399</v>
      </c>
    </row>
    <row r="31" spans="1:10" x14ac:dyDescent="0.25">
      <c r="A31" s="23"/>
      <c r="B31" s="15" t="s">
        <v>17</v>
      </c>
      <c r="C31" s="14">
        <f ca="1">IFERROR(__xludf.DUMMYFUNCTION("average(FILTER(Hybrid!F8:F64, MOD(ROW(Hybrid!F8:F64) - ROW(Hybrid!F8), 8) = 0))"),0.304100101579093)</f>
        <v>0.30410010157909301</v>
      </c>
      <c r="D31" s="14">
        <f ca="1">IFERROR(__xludf.DUMMYFUNCTION("average(FILTER(Hybrid!G8:G64, MOD(ROW(Hybrid!G8:G64) - ROW(Hybrid!G8), 8) = 0))"),0.44234693877551)</f>
        <v>0.44234693877551001</v>
      </c>
      <c r="E31" s="14">
        <f ca="1">IFERROR(__xludf.DUMMYFUNCTION("average(FILTER(Hybrid!H8:H64, MOD(ROW(Hybrid!H8:H64) - ROW(Hybrid!H8), 8) = 0))"),0.343649832167802)</f>
        <v>0.34364983216780198</v>
      </c>
      <c r="F31" s="23"/>
      <c r="G31" s="15" t="s">
        <v>17</v>
      </c>
      <c r="H31" s="14">
        <f ca="1">IFERROR(__xludf.DUMMYFUNCTION("average(FILTER(Hybrid!P8:P64, MOD(ROW(Hybrid!P8:P64) - ROW(Hybrid!P8), 8) = 0))"),0.277770303312098)</f>
        <v>0.27777030331209801</v>
      </c>
      <c r="I31" s="14">
        <f ca="1">IFERROR(__xludf.DUMMYFUNCTION("average(FILTER(Hybrid!Q8:Q64, MOD(ROW(Hybrid!Q8:Q64) - ROW(Hybrid!Q8), 8) = 0))"),0.481972789115646)</f>
        <v>0.48197278911564601</v>
      </c>
      <c r="J31" s="14">
        <f ca="1">IFERROR(__xludf.DUMMYFUNCTION("average(FILTER(Hybrid!R8:R64, MOD(ROW(Hybrid!R8:R64) - ROW(Hybrid!R8), 8) = 0))"),0.337484582349686)</f>
        <v>0.33748458234968598</v>
      </c>
    </row>
    <row r="32" spans="1:10" x14ac:dyDescent="0.25">
      <c r="A32" s="23"/>
      <c r="B32" s="15" t="s">
        <v>18</v>
      </c>
      <c r="C32" s="14">
        <f ca="1">IFERROR(__xludf.DUMMYFUNCTION("average(FILTER(Hybrid!F9:F65, MOD(ROW(Hybrid!F9:F65) - ROW(Hybrid!F9), 8) = 0))"),0.729166666666666)</f>
        <v>0.72916666666666596</v>
      </c>
      <c r="D32" s="14">
        <f ca="1">IFERROR(__xludf.DUMMYFUNCTION("average(FILTER(Hybrid!G9:G65, MOD(ROW(Hybrid!G9:G65) - ROW(Hybrid!G9), 8) = 0))"),0.958333333333333)</f>
        <v>0.95833333333333304</v>
      </c>
      <c r="E32" s="14">
        <f ca="1">IFERROR(__xludf.DUMMYFUNCTION("average(FILTER(Hybrid!H9:H65, MOD(ROW(Hybrid!H9:H65) - ROW(Hybrid!H9), 8) = 0))"),0.79280303030303)</f>
        <v>0.79280303030303001</v>
      </c>
      <c r="F32" s="23"/>
      <c r="G32" s="15" t="s">
        <v>18</v>
      </c>
      <c r="H32" s="14">
        <f ca="1">IFERROR(__xludf.DUMMYFUNCTION("average(FILTER(Hybrid!P9:P65, MOD(ROW(Hybrid!P9:P65) - ROW(Hybrid!P9), 8) = 0))"),0.59375)</f>
        <v>0.59375</v>
      </c>
      <c r="I32" s="14">
        <f ca="1">IFERROR(__xludf.DUMMYFUNCTION("average(FILTER(Hybrid!Q9:Q65, MOD(ROW(Hybrid!Q9:Q65) - ROW(Hybrid!Q9), 8) = 0))"),0.975)</f>
        <v>0.97499999999999998</v>
      </c>
      <c r="J32" s="14">
        <f ca="1">IFERROR(__xludf.DUMMYFUNCTION("average(FILTER(Hybrid!R9:R65, MOD(ROW(Hybrid!R9:R65) - ROW(Hybrid!R9), 8) = 0))"),0.713230519480519)</f>
        <v>0.71323051948051897</v>
      </c>
    </row>
    <row r="33" spans="1:10" x14ac:dyDescent="0.25">
      <c r="A33" s="23"/>
      <c r="B33" s="15" t="s">
        <v>19</v>
      </c>
      <c r="C33" s="14">
        <f ca="1">IFERROR(__xludf.DUMMYFUNCTION("average(FILTER(Hybrid!F10:F66, MOD(ROW(Hybrid!F10:F66) - ROW(Hybrid!F10), 8) = 0))"),0.416666666666666)</f>
        <v>0.41666666666666602</v>
      </c>
      <c r="D33" s="14">
        <f ca="1">IFERROR(__xludf.DUMMYFUNCTION("average(FILTER(Hybrid!G10:G66, MOD(ROW(Hybrid!G10:G66) - ROW(Hybrid!G10), 8) = 0))"),0.35)</f>
        <v>0.35</v>
      </c>
      <c r="E33" s="14">
        <f ca="1">IFERROR(__xludf.DUMMYFUNCTION("average(FILTER(Hybrid!H10:H66, MOD(ROW(Hybrid!H10:H66) - ROW(Hybrid!H10), 8) = 0))"),0.342857142857142)</f>
        <v>0.34285714285714203</v>
      </c>
      <c r="F33" s="23"/>
      <c r="G33" s="15" t="s">
        <v>19</v>
      </c>
      <c r="H33" s="14">
        <f ca="1">IFERROR(__xludf.DUMMYFUNCTION("average(FILTER(Hybrid!P10:P66, MOD(ROW(Hybrid!P10:P66) - ROW(Hybrid!P10), 8) = 0))"),0.333333333333333)</f>
        <v>0.33333333333333298</v>
      </c>
      <c r="I33" s="14">
        <f ca="1">IFERROR(__xludf.DUMMYFUNCTION("average(FILTER(Hybrid!Q10:Q66, MOD(ROW(Hybrid!Q10:Q66) - ROW(Hybrid!Q10), 8) = 0))"),0.5)</f>
        <v>0.5</v>
      </c>
      <c r="J33" s="14">
        <f ca="1">IFERROR(__xludf.DUMMYFUNCTION("average(FILTER(Hybrid!R10:R66, MOD(ROW(Hybrid!R10:R66) - ROW(Hybrid!R10), 8) = 0))"),0.393939393939393)</f>
        <v>0.39393939393939298</v>
      </c>
    </row>
    <row r="34" spans="1:10" x14ac:dyDescent="0.25">
      <c r="A34" s="23"/>
      <c r="B34" s="15" t="s">
        <v>20</v>
      </c>
      <c r="C34" s="14">
        <f ca="1">IFERROR(__xludf.DUMMYFUNCTION("average(FILTER(Hybrid!F11:F67, MOD(ROW(Hybrid!F11:F67) - ROW(Hybrid!F11), 8) = 0))"),0.125)</f>
        <v>0.125</v>
      </c>
      <c r="D34" s="14">
        <f ca="1">IFERROR(__xludf.DUMMYFUNCTION("average(FILTER(Hybrid!G11:G67, MOD(ROW(Hybrid!G11:G67) - ROW(Hybrid!G11), 8) = 0))"),0.125)</f>
        <v>0.125</v>
      </c>
      <c r="E34" s="14">
        <f ca="1">IFERROR(__xludf.DUMMYFUNCTION("average(FILTER(Hybrid!H11:H67, MOD(ROW(Hybrid!H11:H67) - ROW(Hybrid!H11), 8) = 0))"),0.125)</f>
        <v>0.125</v>
      </c>
      <c r="F34" s="23"/>
      <c r="G34" s="15" t="s">
        <v>20</v>
      </c>
      <c r="H34" s="14">
        <f ca="1">IFERROR(__xludf.DUMMYFUNCTION("average(FILTER(Hybrid!P11:P67, MOD(ROW(Hybrid!P11:P67) - ROW(Hybrid!P11), 8) = 0))"),0.3125)</f>
        <v>0.3125</v>
      </c>
      <c r="I34" s="14">
        <f ca="1">IFERROR(__xludf.DUMMYFUNCTION("average(FILTER(Hybrid!Q11:Q67, MOD(ROW(Hybrid!Q11:Q67) - ROW(Hybrid!Q11), 8) = 0))"),0.375)</f>
        <v>0.375</v>
      </c>
      <c r="J34" s="14">
        <f ca="1">IFERROR(__xludf.DUMMYFUNCTION("average(FILTER(Hybrid!R11:R67, MOD(ROW(Hybrid!R11:R67) - ROW(Hybrid!R11), 8) = 0))"),0.333333333333333)</f>
        <v>0.33333333333333298</v>
      </c>
    </row>
    <row r="35" spans="1:10" x14ac:dyDescent="0.25">
      <c r="A35" s="24"/>
      <c r="B35" s="15" t="s">
        <v>21</v>
      </c>
      <c r="C35" s="14">
        <f ca="1">IFERROR(__xludf.DUMMYFUNCTION("average(FILTER(Hybrid!F12:F68, MOD(ROW(Hybrid!F12:F68) - ROW(Hybrid!F12), 8) = 0))"),0.710764386869929)</f>
        <v>0.71076438686992904</v>
      </c>
      <c r="D35" s="14">
        <f ca="1">IFERROR(__xludf.DUMMYFUNCTION("average(FILTER(Hybrid!G12:G68, MOD(ROW(Hybrid!G12:G68) - ROW(Hybrid!G12), 8) = 0))"),0.614180933553608)</f>
        <v>0.61418093355360803</v>
      </c>
      <c r="E35" s="14">
        <f ca="1">IFERROR(__xludf.DUMMYFUNCTION("average(FILTER(Hybrid!H12:H68, MOD(ROW(Hybrid!H12:H68) - ROW(Hybrid!H12), 8) = 0))"),0.655862144822492)</f>
        <v>0.65586214482249205</v>
      </c>
      <c r="F35" s="24"/>
      <c r="G35" s="15" t="s">
        <v>21</v>
      </c>
      <c r="H35" s="14">
        <f ca="1">IFERROR(__xludf.DUMMYFUNCTION("average(FILTER(Hybrid!P12:P68, MOD(ROW(Hybrid!P12:P68) - ROW(Hybrid!P12), 8) = 0))"),0.636790789942493)</f>
        <v>0.63679078994249305</v>
      </c>
      <c r="I35" s="14">
        <f ca="1">IFERROR(__xludf.DUMMYFUNCTION("average(FILTER(Hybrid!Q12:Q68, MOD(ROW(Hybrid!Q12:Q68) - ROW(Hybrid!Q12), 8) = 0))"),0.647285169045169)</f>
        <v>0.64728516904516897</v>
      </c>
      <c r="J35" s="14">
        <f ca="1">IFERROR(__xludf.DUMMYFUNCTION("average(FILTER(Hybrid!R12:R68, MOD(ROW(Hybrid!R12:R68) - ROW(Hybrid!R12), 8) = 0))"),0.633616551091145)</f>
        <v>0.63361655109114501</v>
      </c>
    </row>
  </sheetData>
  <mergeCells count="8">
    <mergeCell ref="A28:A35"/>
    <mergeCell ref="F28:F35"/>
    <mergeCell ref="A4:A11"/>
    <mergeCell ref="F4:F11"/>
    <mergeCell ref="A12:A19"/>
    <mergeCell ref="F12:F19"/>
    <mergeCell ref="A20:A27"/>
    <mergeCell ref="F20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SinglePrompt</vt:lpstr>
      <vt:lpstr>StructureDriven</vt:lpstr>
      <vt:lpstr>EventDriven</vt:lpstr>
      <vt:lpstr>Hybrid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Tufenkjian</cp:lastModifiedBy>
  <dcterms:modified xsi:type="dcterms:W3CDTF">2025-04-04T02:20:58Z</dcterms:modified>
</cp:coreProperties>
</file>